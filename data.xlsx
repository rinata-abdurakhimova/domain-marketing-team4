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main-marketing-team4\"/>
    </mc:Choice>
  </mc:AlternateContent>
  <bookViews>
    <workbookView xWindow="0" yWindow="0" windowWidth="28800" windowHeight="11880"/>
  </bookViews>
  <sheets>
    <sheet name="AI OrchestrationSummerSchool_cr" sheetId="1" r:id="rId1"/>
  </sheets>
  <calcPr calcId="152511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2" i="1"/>
</calcChain>
</file>

<file path=xl/sharedStrings.xml><?xml version="1.0" encoding="utf-8"?>
<sst xmlns="http://schemas.openxmlformats.org/spreadsheetml/2006/main" count="624" uniqueCount="208">
  <si>
    <t>creative_name</t>
  </si>
  <si>
    <t>influencers_key</t>
  </si>
  <si>
    <t>influencers_name</t>
  </si>
  <si>
    <t>type</t>
  </si>
  <si>
    <t>audience</t>
  </si>
  <si>
    <t>language</t>
  </si>
  <si>
    <t>spend</t>
  </si>
  <si>
    <t>units</t>
  </si>
  <si>
    <t>cpu</t>
  </si>
  <si>
    <t>cpm</t>
  </si>
  <si>
    <t>cpc</t>
  </si>
  <si>
    <t>ctr</t>
  </si>
  <si>
    <t>hook</t>
  </si>
  <si>
    <t>hold</t>
  </si>
  <si>
    <t>cr_2_unit</t>
  </si>
  <si>
    <t>paid_units_share</t>
  </si>
  <si>
    <t>flex_share</t>
  </si>
  <si>
    <t>cr_2_flex</t>
  </si>
  <si>
    <t>slay_share</t>
  </si>
  <si>
    <t>cr_2_slay</t>
  </si>
  <si>
    <t>cpu_slay</t>
  </si>
  <si>
    <t>roi</t>
  </si>
  <si>
    <t>01_111225_01_0820_MN_Es_SingleStudentsNearby_Infl_FB_4x5</t>
  </si>
  <si>
    <t>Alondra Crear 08.10.2024</t>
  </si>
  <si>
    <t>Static</t>
  </si>
  <si>
    <t>MN</t>
  </si>
  <si>
    <t>Es</t>
  </si>
  <si>
    <t>01_111225_01_0820_MN_Fr_SingleStudentsNearby_Infl_FB_4x5</t>
  </si>
  <si>
    <t>Fr</t>
  </si>
  <si>
    <t>04_281225_01_0820_MN_En_SingleStudentsNearbySCL16W2A_Infl_FB_4x5</t>
  </si>
  <si>
    <t>En</t>
  </si>
  <si>
    <t>03_160226_01_0820_MN_En_CloneSelfie_Infl_FB_4x5</t>
  </si>
  <si>
    <t>01_291025_01_0820_MN_En_SingleStudentsNearbySCL6_Txt_FB_4x5</t>
  </si>
  <si>
    <t>02_260126_01_0820_MN_En_TripleSplit_Infl_FB_4x5</t>
  </si>
  <si>
    <t>02_080925_01_0820_MN_En_SingleStudentsNearbySCL1_Ftg_FB_4x5</t>
  </si>
  <si>
    <t>01_061025_01_0820_MN_En_SingleGymRatsNearSCL2_Infl_FB_4x5</t>
  </si>
  <si>
    <t>04_291025_01_0820_MN_En_SingleStudentsNearbySCL6_Txt_FB_4x5</t>
  </si>
  <si>
    <t>02_291025_01_0820_MN_En_SingleStudentsNearbySCL6_Txt_FB_4x5</t>
  </si>
  <si>
    <t>03_080925_01_0820_MN_En_SingleStudentsNearbySCL1_Ftg_FB_4x5</t>
  </si>
  <si>
    <t>04_230925_01_0820_MN_En_DeeperLevelForMNSCL7W2A_Infl_TT_9x16</t>
  </si>
  <si>
    <t>Motion</t>
  </si>
  <si>
    <t>01_080925_01_0820_MN_En_SingleStudentsNearbySCL4_Edt_FB_9x16</t>
  </si>
  <si>
    <t>01_151225_01_0820_MN_Fr_AlondraCrearReelsTopCreoSCL1_Txt_FB_9x16</t>
  </si>
  <si>
    <t>02_151025_01_0820_MN_En_ConfidentFlirt_Infl_FB_9x16</t>
  </si>
  <si>
    <t>03_170626_01_0820_MN_En_HerMoveMNSCL5_Infl_FB_9x16</t>
  </si>
  <si>
    <t>04_111225_01_0820_MN_En_DuetTheOneSCL4_Infl_FB_9x16</t>
  </si>
  <si>
    <t>01_090226_01_0820_MN_En_AlondraCrearSparkAdsQ1Part1_Msg_TT_9x16</t>
  </si>
  <si>
    <t>02_130526_01_0820_MN_En_RealDatesOnlyW2A_Infl_FB_9x16</t>
  </si>
  <si>
    <t>03_090226_01_0820_MN_En_AlondraCrearSparkAdsQ1Part1_Msg_TT_9x16</t>
  </si>
  <si>
    <t>04_081225_01_0820_MN_En_DanceTopVideoMixSCL3_Infl_FB_9x16</t>
  </si>
  <si>
    <t>02_280126_01_0820_MN_En_AlondraCrearReelsTopCreoSCL5W2A_Ftg_FB_9x16</t>
  </si>
  <si>
    <t>06_190626_01_0820_MN_En_PanickingFlirterFromGlW2A_Infl_FB_9x16</t>
  </si>
  <si>
    <t>02_270526_01_0820_MN_En_TrendEffectSCL3_Infl_FB_9x16</t>
  </si>
  <si>
    <t>01_191225_01_0820_MN_En_RealDate_Infl_FB_9x16</t>
  </si>
  <si>
    <t>01_040126_01_0869_MN_En_FriendZoneFree_Infl_FB_9x16</t>
  </si>
  <si>
    <t>Sheepy Caroline (Caroline Kruger) 04.11.2024</t>
  </si>
  <si>
    <t>04_260126_01_0869_MN_En_BreakupHealingMN_Infl_FB_9x16</t>
  </si>
  <si>
    <t>04_130126_01_0869_MN_En_FriendZoneFreeSCL1_Ftg_FB_9x16</t>
  </si>
  <si>
    <t>05_160326_01_0869_MN_En_Dating2026Fixed_Infl_FB_9x16</t>
  </si>
  <si>
    <t>01_260126_01_0869_MN_En_HilyAnotherDateMN_Infl_FB_9x16</t>
  </si>
  <si>
    <t>02_040226_01_0869_MN_En_HilyAnotherDateMNSCL1_Ftg_FB_9x16</t>
  </si>
  <si>
    <t>01_210426_01_0869_MN_En_BreakupHealingMNSCL3_Infl_FB_9x16</t>
  </si>
  <si>
    <t>05_020226_01_0869_MN_En_CaughtFeelings_Infl_FB_9x16</t>
  </si>
  <si>
    <t>01_040226_01_0869_MN_En_HilyAnotherDateMNSCL1_Ftg_FB_9x16</t>
  </si>
  <si>
    <t>04_150626_01_0869_MN_En_SingleLifeOverW2AUPD1_Infl_FB_9x16</t>
  </si>
  <si>
    <t>04_120126_01_0869_MN_En_ConfidentFlirtUPD1_Infl_FB_9x16</t>
  </si>
  <si>
    <t>01_050226_01_0869_MN_En_ThatOneGirl_Infl_FB_9x16</t>
  </si>
  <si>
    <t>01_240626_01_0869_MN_En_GirlsTextFirstW2ASCL3_Infl_FB_9x16</t>
  </si>
  <si>
    <t>03_150426_01_0869_MN_En_BiosGreenFlagsUPD1_Infl_FB_9x16</t>
  </si>
  <si>
    <t>01_040626_01_0869_MN_En_WithYouSCL3_Infl_FB_9x16</t>
  </si>
  <si>
    <t>03_080626_01_0869_MN_En_GroupChatAdviceW2A_Infl_FB_9x16</t>
  </si>
  <si>
    <t>03_191225_01_0869_MN_En_HolidayReady_Infl_FB_9x16</t>
  </si>
  <si>
    <t>01_310326_01_0869_MN_En_PatternInMotion_Infl_FB_9x16</t>
  </si>
  <si>
    <t>02_210725_01_0869_MN_En_AudioHookTestSheepyCaroline_1_FB_9x16</t>
  </si>
  <si>
    <t>01_210226_01_0743_WMN_Fr_SingleButSearchingSCL5_Ftg_FB_9x16</t>
  </si>
  <si>
    <t>Lukas Juodkunaitis 10.04.2023</t>
  </si>
  <si>
    <t>WMN</t>
  </si>
  <si>
    <t>01_100226_01_0743_WMN_En_SingleButSearchingSCL5_Ftg_FB_9x16</t>
  </si>
  <si>
    <t>02_200426_01_0743_WMN_En_CaretakerSCL2_Infl_FB_9x16</t>
  </si>
  <si>
    <t>01_240126_01_0743_WMN_Es_SingleButSearching_Infl_FB_9x16</t>
  </si>
  <si>
    <t>01_210226_01_0743_WMN_Es_SingleButSearchingSCL5_Ftg_FB_9x16</t>
  </si>
  <si>
    <t>01_020326_01_0743_WMN_En_SingleButSearchingSCL8_Hook_FB_9x16</t>
  </si>
  <si>
    <t>02_010426_01_0743_WMN_En_FeelsLikeHome_Infl_FB_9x16</t>
  </si>
  <si>
    <t>03_060426_01_0743_WMN_En_Caretaker_Infl_FB_9x16</t>
  </si>
  <si>
    <t>02_130426_01_0743_WMN_En_FeelsLikeHomeSCL2_Infl_FB_9x16</t>
  </si>
  <si>
    <t>01_170226_01_0743_WMN_En_SingleButSearchingSCL6_Ftg_FB_9x16</t>
  </si>
  <si>
    <t>06_191125_01_0743_WMN_En_LukasJuodkunaitisPartnershipAdsQ425_Ftg_FB_9x16</t>
  </si>
  <si>
    <t>02_100326_01_0743_WMN_En_ActuallyLikeHim_Infl_FB_9x16</t>
  </si>
  <si>
    <t>03_191125_01_0743_WMN_En_LukasJuodkunaitisPartnershipAdsQ425_Ftg_FB_9x16</t>
  </si>
  <si>
    <t>02_191125_01_0743_WMN_En_LukasJuodkunaitisPartnershipAdsQ425_Ftg_FB_9x16</t>
  </si>
  <si>
    <t>04_020326_01_0743_WMN_En_SingleButSearchingSCL8_Hook_FB_9x16</t>
  </si>
  <si>
    <t>03_020326_01_0743_WMN_En_SingleButSearchingSCL7_Hook_FB_9x16</t>
  </si>
  <si>
    <t>04_260126_01_0869_MN_En_TripleSplit_Infl_FB_4x5</t>
  </si>
  <si>
    <t>05_210126_01_0869_MN_En_SingleStudentsNearbySCL19_Infl_FB_4x5</t>
  </si>
  <si>
    <t>02_070825_01_0869_MN_En_BlueHairFindClick_Infl_FB_4x5</t>
  </si>
  <si>
    <t>02_130126_01_0869_MN_En_MultiFrameStoryboard_Infl_FB_4x5</t>
  </si>
  <si>
    <t>04_271225_01_0869_MN_En_TTGirlsToMeta_Infl_FB_4x5</t>
  </si>
  <si>
    <t>04_190126_01_0869_MN_En_NotGhosted_Infl_FB_4x5</t>
  </si>
  <si>
    <t>02_030626_01_0409_WMN_En_GoodGuyWithTattoos_Infl_FB_9x16</t>
  </si>
  <si>
    <t>Mathew Ducker (Cass) 06.02.2026</t>
  </si>
  <si>
    <t>01_111225_01_0409_WMN_Es_GoodMenInsightsDigestV3SCL1$OTHR_Txt_FB_9x16</t>
  </si>
  <si>
    <t>01_250326_01_0409_WMN_Fr_ActuallyLikeHim_Infl_FB_9x16</t>
  </si>
  <si>
    <t>01_090925_01_0409_WMN_Fr_WMNTestForCanada_Msg_FB_9x16</t>
  </si>
  <si>
    <t>02_090626_01_0409_WMN_En_GoodGuyWithTattoosSCL1_Infl_FB_9x16</t>
  </si>
  <si>
    <t>03_120925_01_0409_WMN_En_SixSyllablesTrendForMetaWMNSCL2_Txt_FB_9x16</t>
  </si>
  <si>
    <t>03_100326_01_0409_WMN_En_ActuallyLikeHim_Infl_FB_9x16</t>
  </si>
  <si>
    <t>03_170925_01_0409_WMN_En_SixSyllablesTrendForMetaWMNAlisonSCL_Edt_FB_9x16</t>
  </si>
  <si>
    <t>02_090925_01_0409_WMN_Fr_WMNTestForCanada_Msg_FB_9x16</t>
  </si>
  <si>
    <t>02_161225_01_0409_WMN_En_MattyMarch24PhotosITNEWSCL8Q525_Dsgn_FB_4x5</t>
  </si>
  <si>
    <t>01_301225_01_0409_WMN_Es_MattyMarch24PhotosITNEWSCL8Q525_Dsgn_FB_4x5</t>
  </si>
  <si>
    <t>03_240925_01_0409_WMN_En_MattyFreshStartRetro_Txt_FB_4x5</t>
  </si>
  <si>
    <t>01_170925_01_0409_WMN_En_MattyMarch24PhotosITAlisonSCL_Txt_FB_4x5</t>
  </si>
  <si>
    <t>04_060126_01_0409_WMN_En_MattyMarch24PhotosITNEWSCL8Q525SCL1_Ftg_FB_4x5</t>
  </si>
  <si>
    <t>03_181125_01_0409_WMN_En_MsgSystStrWMNStat_Txt_FB_4x5</t>
  </si>
  <si>
    <t>06_101225_01_0409_WMN_En_MsgSystStrWMNRespect_Txt_FB_4x5</t>
  </si>
  <si>
    <t>01_301225_01_0409_WMN_Fr_MattyMarch24PhotosITNEWSCL8Q525_Dsgn_FB_4x5</t>
  </si>
  <si>
    <t>02_170925_01_0409_WMN_En_MattyMarch24PhotosITAlisonSCL_Txt_FB_4x5</t>
  </si>
  <si>
    <t>05_050326_01_0409_WMN_En_MsgSystStrWMNVar_Txt_FB_4x5</t>
  </si>
  <si>
    <t>01_240925_01_0409_WMN_En_MattyFreshStartRetro_Txt_FB_4x5</t>
  </si>
  <si>
    <t>02_050326_01_0409_WMN_En_MsgSystStrWMNVar_Txt_FB_4x5</t>
  </si>
  <si>
    <t>01_101025_01_0409_WMN_En_ShortTermWomenFirstPackSnapSCL1_Infl_FB_4x5</t>
  </si>
  <si>
    <t>04_050326_01_0409_WMN_En_MsgSystStrWMNVar_Txt_FB_4x5</t>
  </si>
  <si>
    <t>04_241125_01_0409_WMN_En_MsgSystStrWMNStraight_Txt_FB_4x5</t>
  </si>
  <si>
    <t>03_060126_01_0409_WMN_En_MattyMarch24PhotosITNEWSCL8Q525SCL1_Ftg_FB_4x5</t>
  </si>
  <si>
    <t>02_240925_01_0409_WMN_En_MattyFreshStartRetro_Txt_FB_4x5</t>
  </si>
  <si>
    <t>03_290725_01_0409_WMN_En_FunandFlirtyPolicyReliefforMETA_1_FB_4x5</t>
  </si>
  <si>
    <t>03_241125_01_0409_WMN_En_MsgSystStrWMNStraight_Txt_FB_4x5</t>
  </si>
  <si>
    <t>03_161225_01_0409_WMN_En_MattyMarch24PhotosITNEWSCL8Q525_Dsgn_FB_4x5</t>
  </si>
  <si>
    <t>02_040925_01_0409_WMN_En_MattyMarch24PhotosAlisonSCL_Dsgn_FB_4x5</t>
  </si>
  <si>
    <t>02_030326_01_0409_WMN_En_MsgSystStrWMNAccept1_Txt_FB_4x5</t>
  </si>
  <si>
    <t>01_101225_01_0409_WMN_En_MsgSystStrWMNRespect_Txt_FB_4x5</t>
  </si>
  <si>
    <t>01_180925_01_0409_WMN_En_PrincessPhotoGuys_Infl_FB_4x5</t>
  </si>
  <si>
    <t>01_181125_01_0409_WMN_En_MsgSystStrWMNStat_Txt_FB_4x5</t>
  </si>
  <si>
    <t>concept</t>
  </si>
  <si>
    <t>SingleStudentsNearby</t>
  </si>
  <si>
    <t>SingleStudentsNearbySCL16W2A</t>
  </si>
  <si>
    <t>CloneSelfie</t>
  </si>
  <si>
    <t>SingleStudentsNearbySCL6</t>
  </si>
  <si>
    <t>TripleSplit</t>
  </si>
  <si>
    <t>SingleStudentsNearbySCL1</t>
  </si>
  <si>
    <t>SingleGymRatsNearSCL2</t>
  </si>
  <si>
    <t>DeeperLevelForMNSCL7W2A</t>
  </si>
  <si>
    <t>SingleStudentsNearbySCL4</t>
  </si>
  <si>
    <t>AlondraCrearReelsTopCreoSCL1</t>
  </si>
  <si>
    <t>ConfidentFlirt</t>
  </si>
  <si>
    <t>HerMoveMNSCL5</t>
  </si>
  <si>
    <t>DuetTheOneSCL4</t>
  </si>
  <si>
    <t>AlondraCrearSparkAdsQ1Part1</t>
  </si>
  <si>
    <t>RealDatesOnlyW2A</t>
  </si>
  <si>
    <t>DanceTopVideoMixSCL3</t>
  </si>
  <si>
    <t>AlondraCrearReelsTopCreoSCL5W2A</t>
  </si>
  <si>
    <t>PanickingFlirterFromGlW2A</t>
  </si>
  <si>
    <t>TrendEffectSCL3</t>
  </si>
  <si>
    <t>RealDate</t>
  </si>
  <si>
    <t>FriendZoneFree</t>
  </si>
  <si>
    <t>BreakupHealingMN</t>
  </si>
  <si>
    <t>FriendZoneFreeSCL1</t>
  </si>
  <si>
    <t>Dating2026Fixed</t>
  </si>
  <si>
    <t>HilyAnotherDateMN</t>
  </si>
  <si>
    <t>HilyAnotherDateMNSCL1</t>
  </si>
  <si>
    <t>BreakupHealingMNSCL3</t>
  </si>
  <si>
    <t>CaughtFeelings</t>
  </si>
  <si>
    <t>SingleLifeOverW2AUPD1</t>
  </si>
  <si>
    <t>ConfidentFlirtUPD1</t>
  </si>
  <si>
    <t>ThatOneGirl</t>
  </si>
  <si>
    <t>GirlsTextFirstW2ASCL3</t>
  </si>
  <si>
    <t>BiosGreenFlagsUPD1</t>
  </si>
  <si>
    <t>WithYouSCL3</t>
  </si>
  <si>
    <t>GroupChatAdviceW2A</t>
  </si>
  <si>
    <t>HolidayReady</t>
  </si>
  <si>
    <t>PatternInMotion</t>
  </si>
  <si>
    <t>AudioHookTestSheepyCaroline</t>
  </si>
  <si>
    <t>SingleButSearchingSCL5</t>
  </si>
  <si>
    <t>CaretakerSCL2</t>
  </si>
  <si>
    <t>SingleButSearching</t>
  </si>
  <si>
    <t>SingleButSearchingSCL8</t>
  </si>
  <si>
    <t>FeelsLikeHome</t>
  </si>
  <si>
    <t>Caretaker</t>
  </si>
  <si>
    <t>FeelsLikeHomeSCL2</t>
  </si>
  <si>
    <t>SingleButSearchingSCL6</t>
  </si>
  <si>
    <t>LukasJuodkunaitisPartnershipAdsQ425</t>
  </si>
  <si>
    <t>ActuallyLikeHim</t>
  </si>
  <si>
    <t>SingleButSearchingSCL7</t>
  </si>
  <si>
    <t>SingleStudentsNearbySCL19</t>
  </si>
  <si>
    <t>BlueHairFindClick</t>
  </si>
  <si>
    <t>MultiFrameStoryboard</t>
  </si>
  <si>
    <t>TTGirlsToMeta</t>
  </si>
  <si>
    <t>NotGhosted</t>
  </si>
  <si>
    <t>GoodGuyWithTattoos</t>
  </si>
  <si>
    <t>GoodMenInsightsDigestV3SCL1$OTHR</t>
  </si>
  <si>
    <t>WMNTestForCanada</t>
  </si>
  <si>
    <t>GoodGuyWithTattoosSCL1</t>
  </si>
  <si>
    <t>SixSyllablesTrendForMetaWMNSCL2</t>
  </si>
  <si>
    <t>SixSyllablesTrendForMetaWMNAlisonSCL</t>
  </si>
  <si>
    <t>MattyMarch24PhotosITNEWSCL8Q525</t>
  </si>
  <si>
    <t>MattyFreshStartRetro</t>
  </si>
  <si>
    <t>MattyMarch24PhotosITAlisonSCL</t>
  </si>
  <si>
    <t>MattyMarch24PhotosITNEWSCL8Q525SCL1</t>
  </si>
  <si>
    <t>MsgSystStrWMNStat</t>
  </si>
  <si>
    <t>MsgSystStrWMNRespect</t>
  </si>
  <si>
    <t>MsgSystStrWMNVar</t>
  </si>
  <si>
    <t>ShortTermWomenFirstPackSnapSCL1</t>
  </si>
  <si>
    <t>MsgSystStrWMNStraight</t>
  </si>
  <si>
    <t>FunandFlirtyPolicyReliefforMETA</t>
  </si>
  <si>
    <t>MattyMarch24PhotosAlisonSCL</t>
  </si>
  <si>
    <t>MsgSystStrWMNAccept1</t>
  </si>
  <si>
    <t>PrincessPhotoGuys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</si>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</sst>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1"/>
  <sheetViews>
    <sheetView tabSelected="1" topLeftCell="V1" workbookViewId="0">
      <selection activeCell="X1" sqref="X1"/>
    </sheetView>
  </sheetViews>
  <sheetFormatPr defaultColWidth="12.5703125" defaultRowHeight="15.75" customHeight="1" x14ac:dyDescent="0.2"/>
  <cols>
    <col min="1" max="1" width="71.7109375" customWidth="1"/>
    <col min="2" max="2" width="27.28515625" customWidth="1"/>
  </cols>
  <sheetData>
    <row r="1" spans="1:24" x14ac:dyDescent="0.2">
      <c r="A1" s="3" t="s">
        <v>0</v>
      </c>
      <c r="B1" s="3" t="s">
        <v>133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207</v>
      </c>
    </row>
    <row r="2" spans="1:24" x14ac:dyDescent="0.2">
      <c r="A2" s="1" t="s">
        <v>22</v>
      </c>
      <c r="B2" s="2" t="s">
        <v>134</v>
      </c>
      <c r="C2" s="1">
        <v>820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22706.09</v>
      </c>
      <c r="I2" s="1">
        <v>2369</v>
      </c>
      <c r="J2" s="1">
        <v>9.58</v>
      </c>
      <c r="K2" s="1">
        <v>15.11</v>
      </c>
      <c r="L2" s="1">
        <v>1.3149999999999999</v>
      </c>
      <c r="M2" s="1">
        <v>1.15E-2</v>
      </c>
      <c r="N2" s="1">
        <v>0</v>
      </c>
      <c r="O2" s="1">
        <v>0</v>
      </c>
      <c r="P2" s="1">
        <v>0.13719999999999999</v>
      </c>
      <c r="Q2" s="1">
        <v>0.1454</v>
      </c>
      <c r="R2" s="1">
        <v>0.41070000000000001</v>
      </c>
      <c r="S2" s="1">
        <v>5.6300000000000003E-2</v>
      </c>
      <c r="T2" s="1">
        <v>1.2999999999999999E-3</v>
      </c>
      <c r="U2" s="1">
        <v>2.0000000000000001E-4</v>
      </c>
      <c r="V2" s="1">
        <v>7319.82</v>
      </c>
      <c r="W2" s="1">
        <v>-4.8599999999999997E-2</v>
      </c>
      <c r="X2" t="str">
        <f>IF(OR(AND(F2="MN", W2&gt;0), AND(F2="WMN", V2&lt;&gt;"", V2&lt;30)), "YES", "NO")</f>
        <v>NO</v>
      </c>
    </row>
    <row r="3" spans="1:24" x14ac:dyDescent="0.2">
      <c r="A3" s="1" t="s">
        <v>27</v>
      </c>
      <c r="B3" s="2" t="s">
        <v>134</v>
      </c>
      <c r="C3" s="1">
        <v>820</v>
      </c>
      <c r="D3" s="1" t="s">
        <v>23</v>
      </c>
      <c r="E3" s="1" t="s">
        <v>24</v>
      </c>
      <c r="F3" s="1" t="s">
        <v>25</v>
      </c>
      <c r="G3" s="1" t="s">
        <v>28</v>
      </c>
      <c r="H3" s="1">
        <v>11458.87</v>
      </c>
      <c r="I3" s="1">
        <v>5044</v>
      </c>
      <c r="J3" s="1">
        <v>2.27</v>
      </c>
      <c r="K3" s="1">
        <v>11.08</v>
      </c>
      <c r="L3" s="1">
        <v>0.56299999999999994</v>
      </c>
      <c r="M3" s="1">
        <v>1.9699999999999999E-2</v>
      </c>
      <c r="N3" s="1">
        <v>0</v>
      </c>
      <c r="P3" s="1">
        <v>0.2477</v>
      </c>
      <c r="Q3" s="1">
        <v>6.2100000000000002E-2</v>
      </c>
      <c r="R3" s="1">
        <v>0.26840000000000003</v>
      </c>
      <c r="S3" s="1">
        <v>6.6500000000000004E-2</v>
      </c>
      <c r="T3" s="1">
        <v>4.0000000000000002E-4</v>
      </c>
      <c r="U3" s="1">
        <v>1E-4</v>
      </c>
      <c r="V3" s="1">
        <v>5804.9</v>
      </c>
      <c r="W3" s="1">
        <v>0.31909999999999999</v>
      </c>
      <c r="X3" t="str">
        <f t="shared" ref="X3:X66" si="0">IF(OR(AND(F3="MN", W3&gt;0), AND(F3="WMN", V3&lt;&gt;"", V3&lt;30)), "YES", "NO")</f>
        <v>YES</v>
      </c>
    </row>
    <row r="4" spans="1:24" x14ac:dyDescent="0.2">
      <c r="A4" s="1" t="s">
        <v>29</v>
      </c>
      <c r="B4" s="2" t="s">
        <v>135</v>
      </c>
      <c r="C4" s="1">
        <v>820</v>
      </c>
      <c r="D4" s="1" t="s">
        <v>23</v>
      </c>
      <c r="E4" s="1" t="s">
        <v>24</v>
      </c>
      <c r="F4" s="1" t="s">
        <v>25</v>
      </c>
      <c r="G4" s="1" t="s">
        <v>30</v>
      </c>
      <c r="H4" s="1">
        <v>2096.14</v>
      </c>
      <c r="I4" s="1">
        <v>169</v>
      </c>
      <c r="J4" s="1">
        <v>12.43</v>
      </c>
      <c r="K4" s="1">
        <v>14.7</v>
      </c>
      <c r="L4" s="1">
        <v>2.0089999999999999</v>
      </c>
      <c r="M4" s="1">
        <v>7.3000000000000001E-3</v>
      </c>
      <c r="N4" s="1">
        <v>0</v>
      </c>
      <c r="P4" s="1">
        <v>0.16189999999999999</v>
      </c>
      <c r="Q4" s="1">
        <v>0.1077</v>
      </c>
      <c r="R4" s="1">
        <v>0.41949999999999998</v>
      </c>
      <c r="S4" s="1">
        <v>6.7900000000000002E-2</v>
      </c>
      <c r="T4" s="1">
        <v>0</v>
      </c>
      <c r="U4" s="1">
        <v>0</v>
      </c>
      <c r="W4" s="1">
        <v>-0.54430000000000001</v>
      </c>
      <c r="X4" t="str">
        <f t="shared" si="0"/>
        <v>NO</v>
      </c>
    </row>
    <row r="5" spans="1:24" x14ac:dyDescent="0.2">
      <c r="A5" s="1" t="s">
        <v>31</v>
      </c>
      <c r="B5" s="2" t="s">
        <v>136</v>
      </c>
      <c r="C5" s="1">
        <v>820</v>
      </c>
      <c r="D5" s="1" t="s">
        <v>23</v>
      </c>
      <c r="E5" s="1" t="s">
        <v>24</v>
      </c>
      <c r="F5" s="1" t="s">
        <v>25</v>
      </c>
      <c r="G5" s="1" t="s">
        <v>30</v>
      </c>
      <c r="H5" s="1">
        <v>1077.19</v>
      </c>
      <c r="I5" s="1">
        <v>140</v>
      </c>
      <c r="J5" s="1">
        <v>7.69</v>
      </c>
      <c r="K5" s="1">
        <v>30.53</v>
      </c>
      <c r="L5" s="1">
        <v>3.2210000000000001</v>
      </c>
      <c r="M5" s="1">
        <v>9.4999999999999998E-3</v>
      </c>
      <c r="N5" s="1">
        <v>0</v>
      </c>
      <c r="P5" s="1">
        <v>0.41870000000000002</v>
      </c>
      <c r="Q5" s="1">
        <v>8.3599999999999994E-2</v>
      </c>
      <c r="R5" s="1">
        <v>0.31769999999999998</v>
      </c>
      <c r="S5" s="1">
        <v>0.13300000000000001</v>
      </c>
      <c r="T5" s="1">
        <v>4.0000000000000001E-3</v>
      </c>
      <c r="U5" s="1">
        <v>1.6999999999999999E-3</v>
      </c>
      <c r="V5" s="1">
        <v>1909.91</v>
      </c>
      <c r="W5" s="1">
        <v>-5.6599999999999998E-2</v>
      </c>
      <c r="X5" t="str">
        <f t="shared" si="0"/>
        <v>NO</v>
      </c>
    </row>
    <row r="6" spans="1:24" x14ac:dyDescent="0.2">
      <c r="A6" s="1" t="s">
        <v>32</v>
      </c>
      <c r="B6" s="2" t="s">
        <v>137</v>
      </c>
      <c r="C6" s="1">
        <v>820</v>
      </c>
      <c r="D6" s="1" t="s">
        <v>23</v>
      </c>
      <c r="E6" s="1" t="s">
        <v>24</v>
      </c>
      <c r="F6" s="1" t="s">
        <v>25</v>
      </c>
      <c r="G6" s="1" t="s">
        <v>30</v>
      </c>
      <c r="H6" s="1">
        <v>441.91</v>
      </c>
      <c r="I6" s="1">
        <v>56</v>
      </c>
      <c r="J6" s="1">
        <v>7.93</v>
      </c>
      <c r="K6" s="1">
        <v>29.19</v>
      </c>
      <c r="L6" s="1">
        <v>3.407</v>
      </c>
      <c r="M6" s="1">
        <v>8.6E-3</v>
      </c>
      <c r="N6" s="1">
        <v>0</v>
      </c>
      <c r="P6" s="1">
        <v>0.43169999999999997</v>
      </c>
      <c r="Q6" s="1">
        <v>2.3199999999999998E-2</v>
      </c>
      <c r="R6" s="1">
        <v>0.34749999999999998</v>
      </c>
      <c r="S6" s="1">
        <v>0.15</v>
      </c>
      <c r="T6" s="1">
        <v>0</v>
      </c>
      <c r="U6" s="1">
        <v>0</v>
      </c>
      <c r="W6" s="1">
        <v>-0.49780000000000002</v>
      </c>
      <c r="X6" t="str">
        <f t="shared" si="0"/>
        <v>NO</v>
      </c>
    </row>
    <row r="7" spans="1:24" x14ac:dyDescent="0.2">
      <c r="A7" s="1" t="s">
        <v>33</v>
      </c>
      <c r="B7" s="2" t="s">
        <v>138</v>
      </c>
      <c r="C7" s="1">
        <v>820</v>
      </c>
      <c r="D7" s="1" t="s">
        <v>23</v>
      </c>
      <c r="E7" s="1" t="s">
        <v>24</v>
      </c>
      <c r="F7" s="1" t="s">
        <v>25</v>
      </c>
      <c r="G7" s="1" t="s">
        <v>30</v>
      </c>
      <c r="H7" s="1">
        <v>263.54000000000002</v>
      </c>
      <c r="I7" s="1">
        <v>41</v>
      </c>
      <c r="J7" s="1">
        <v>6.46</v>
      </c>
      <c r="K7" s="1">
        <v>33.840000000000003</v>
      </c>
      <c r="L7" s="1">
        <v>3.46</v>
      </c>
      <c r="M7" s="1">
        <v>9.7999999999999997E-3</v>
      </c>
      <c r="N7" s="1">
        <v>0</v>
      </c>
      <c r="P7" s="1">
        <v>0.5383</v>
      </c>
      <c r="Q7" s="1">
        <v>3.1699999999999999E-2</v>
      </c>
      <c r="R7" s="1">
        <v>0.40679999999999999</v>
      </c>
      <c r="S7" s="1">
        <v>0.219</v>
      </c>
      <c r="T7" s="1">
        <v>0</v>
      </c>
      <c r="U7" s="1">
        <v>0</v>
      </c>
      <c r="W7" s="1">
        <v>-0.70120000000000005</v>
      </c>
      <c r="X7" t="str">
        <f t="shared" si="0"/>
        <v>NO</v>
      </c>
    </row>
    <row r="8" spans="1:24" x14ac:dyDescent="0.2">
      <c r="A8" s="1" t="s">
        <v>34</v>
      </c>
      <c r="B8" s="2" t="s">
        <v>139</v>
      </c>
      <c r="C8" s="1">
        <v>820</v>
      </c>
      <c r="D8" s="1" t="s">
        <v>23</v>
      </c>
      <c r="E8" s="1" t="s">
        <v>24</v>
      </c>
      <c r="F8" s="1" t="s">
        <v>25</v>
      </c>
      <c r="G8" s="1" t="s">
        <v>30</v>
      </c>
      <c r="H8" s="1">
        <v>184.89</v>
      </c>
      <c r="I8" s="1">
        <v>12</v>
      </c>
      <c r="J8" s="1">
        <v>15.11</v>
      </c>
      <c r="K8" s="1">
        <v>26.34</v>
      </c>
      <c r="L8" s="1">
        <v>3.3780000000000001</v>
      </c>
      <c r="M8" s="1">
        <v>7.7999999999999996E-3</v>
      </c>
      <c r="N8" s="1">
        <v>0</v>
      </c>
      <c r="P8" s="1">
        <v>0.21920000000000001</v>
      </c>
      <c r="Q8" s="1">
        <v>0.32500000000000001</v>
      </c>
      <c r="R8" s="1">
        <v>0.34749999999999998</v>
      </c>
      <c r="S8" s="1">
        <v>7.6200000000000004E-2</v>
      </c>
      <c r="T8" s="1">
        <v>0</v>
      </c>
      <c r="U8" s="1">
        <v>0</v>
      </c>
      <c r="W8" s="1">
        <v>2.7517</v>
      </c>
      <c r="X8" t="str">
        <f t="shared" si="0"/>
        <v>YES</v>
      </c>
    </row>
    <row r="9" spans="1:24" x14ac:dyDescent="0.2">
      <c r="A9" s="1" t="s">
        <v>35</v>
      </c>
      <c r="B9" s="2" t="s">
        <v>140</v>
      </c>
      <c r="C9" s="1">
        <v>820</v>
      </c>
      <c r="D9" s="1" t="s">
        <v>23</v>
      </c>
      <c r="E9" s="1" t="s">
        <v>24</v>
      </c>
      <c r="F9" s="1" t="s">
        <v>25</v>
      </c>
      <c r="G9" s="1" t="s">
        <v>30</v>
      </c>
      <c r="H9" s="1">
        <v>134.43</v>
      </c>
      <c r="I9" s="1">
        <v>24</v>
      </c>
      <c r="J9" s="1">
        <v>5.49</v>
      </c>
      <c r="K9" s="1">
        <v>18.989999999999998</v>
      </c>
      <c r="L9" s="1">
        <v>2.3050000000000002</v>
      </c>
      <c r="M9" s="1">
        <v>8.2000000000000007E-3</v>
      </c>
      <c r="N9" s="1">
        <v>0</v>
      </c>
      <c r="P9" s="1">
        <v>0.41160000000000002</v>
      </c>
      <c r="Q9" s="1">
        <v>0</v>
      </c>
      <c r="R9" s="1">
        <v>0.28960000000000002</v>
      </c>
      <c r="S9" s="1">
        <v>0.1192</v>
      </c>
      <c r="T9" s="1">
        <v>0</v>
      </c>
      <c r="U9" s="1">
        <v>0</v>
      </c>
      <c r="W9" s="1">
        <v>-0.94410000000000005</v>
      </c>
      <c r="X9" t="str">
        <f t="shared" si="0"/>
        <v>NO</v>
      </c>
    </row>
    <row r="10" spans="1:24" x14ac:dyDescent="0.2">
      <c r="A10" s="1" t="s">
        <v>36</v>
      </c>
      <c r="B10" s="2" t="s">
        <v>137</v>
      </c>
      <c r="C10" s="1">
        <v>820</v>
      </c>
      <c r="D10" s="1" t="s">
        <v>23</v>
      </c>
      <c r="E10" s="1" t="s">
        <v>24</v>
      </c>
      <c r="F10" s="1" t="s">
        <v>25</v>
      </c>
      <c r="G10" s="1" t="s">
        <v>30</v>
      </c>
      <c r="H10" s="1">
        <v>112.71</v>
      </c>
      <c r="I10" s="1">
        <v>11</v>
      </c>
      <c r="J10" s="1">
        <v>10.36</v>
      </c>
      <c r="K10" s="1">
        <v>36.97</v>
      </c>
      <c r="L10" s="1">
        <v>4.3049999999999997</v>
      </c>
      <c r="M10" s="1">
        <v>8.6E-3</v>
      </c>
      <c r="N10" s="1">
        <v>0</v>
      </c>
      <c r="P10" s="1">
        <v>0.42020000000000002</v>
      </c>
      <c r="Q10" s="1">
        <v>0</v>
      </c>
      <c r="R10" s="1">
        <v>0.25269999999999998</v>
      </c>
      <c r="S10" s="1">
        <v>0.1062</v>
      </c>
      <c r="T10" s="1">
        <v>0</v>
      </c>
      <c r="U10" s="1">
        <v>0</v>
      </c>
      <c r="W10" s="1">
        <v>-1</v>
      </c>
      <c r="X10" t="str">
        <f t="shared" si="0"/>
        <v>NO</v>
      </c>
    </row>
    <row r="11" spans="1:24" x14ac:dyDescent="0.2">
      <c r="A11" s="1" t="s">
        <v>37</v>
      </c>
      <c r="B11" s="2" t="s">
        <v>137</v>
      </c>
      <c r="C11" s="1">
        <v>820</v>
      </c>
      <c r="D11" s="1" t="s">
        <v>23</v>
      </c>
      <c r="E11" s="1" t="s">
        <v>24</v>
      </c>
      <c r="F11" s="1" t="s">
        <v>25</v>
      </c>
      <c r="G11" s="1" t="s">
        <v>30</v>
      </c>
      <c r="H11" s="1">
        <v>74.69</v>
      </c>
      <c r="I11" s="1">
        <v>8</v>
      </c>
      <c r="J11" s="1">
        <v>9.15</v>
      </c>
      <c r="K11" s="1">
        <v>40.98</v>
      </c>
      <c r="L11" s="1">
        <v>3.6920000000000002</v>
      </c>
      <c r="M11" s="1">
        <v>1.11E-2</v>
      </c>
      <c r="N11" s="1">
        <v>0</v>
      </c>
      <c r="P11" s="1">
        <v>0.39550000000000002</v>
      </c>
      <c r="Q11" s="1">
        <v>0</v>
      </c>
      <c r="R11" s="1">
        <v>0.17369999999999999</v>
      </c>
      <c r="S11" s="1">
        <v>6.8699999999999997E-2</v>
      </c>
      <c r="T11" s="1">
        <v>0</v>
      </c>
      <c r="U11" s="1">
        <v>0</v>
      </c>
      <c r="W11" s="1">
        <v>-0.72360000000000002</v>
      </c>
      <c r="X11" t="str">
        <f t="shared" si="0"/>
        <v>NO</v>
      </c>
    </row>
    <row r="12" spans="1:24" x14ac:dyDescent="0.2">
      <c r="A12" s="1" t="s">
        <v>38</v>
      </c>
      <c r="B12" s="2" t="s">
        <v>139</v>
      </c>
      <c r="C12" s="1">
        <v>820</v>
      </c>
      <c r="D12" s="1" t="s">
        <v>23</v>
      </c>
      <c r="E12" s="1" t="s">
        <v>24</v>
      </c>
      <c r="F12" s="1" t="s">
        <v>25</v>
      </c>
      <c r="G12" s="1" t="s">
        <v>30</v>
      </c>
      <c r="H12" s="1">
        <v>72.58</v>
      </c>
      <c r="I12" s="1">
        <v>4</v>
      </c>
      <c r="J12" s="1">
        <v>17.79</v>
      </c>
      <c r="K12" s="1">
        <v>28.59</v>
      </c>
      <c r="L12" s="1">
        <v>6.7770000000000001</v>
      </c>
      <c r="M12" s="1">
        <v>4.1999999999999997E-3</v>
      </c>
      <c r="N12" s="1">
        <v>0</v>
      </c>
      <c r="P12" s="1">
        <v>0.3735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W12" s="1">
        <v>0.77259999999999995</v>
      </c>
      <c r="X12" t="str">
        <f t="shared" si="0"/>
        <v>YES</v>
      </c>
    </row>
    <row r="13" spans="1:24" x14ac:dyDescent="0.2">
      <c r="A13" s="1" t="s">
        <v>39</v>
      </c>
      <c r="B13" s="2" t="s">
        <v>141</v>
      </c>
      <c r="C13" s="1">
        <v>820</v>
      </c>
      <c r="D13" s="1" t="s">
        <v>23</v>
      </c>
      <c r="E13" s="1" t="s">
        <v>40</v>
      </c>
      <c r="F13" s="1" t="s">
        <v>25</v>
      </c>
      <c r="G13" s="1" t="s">
        <v>30</v>
      </c>
      <c r="H13" s="1">
        <v>23745.360000000001</v>
      </c>
      <c r="I13" s="1">
        <v>2792</v>
      </c>
      <c r="J13" s="1">
        <v>8.5</v>
      </c>
      <c r="K13" s="1">
        <v>57.09</v>
      </c>
      <c r="L13" s="1">
        <v>3.3759999999999999</v>
      </c>
      <c r="M13" s="1">
        <v>1.6899999999999998E-2</v>
      </c>
      <c r="N13" s="1">
        <v>0.67849999999999999</v>
      </c>
      <c r="O13" s="1">
        <v>5.2299999999999999E-2</v>
      </c>
      <c r="P13" s="1">
        <v>0.39689999999999998</v>
      </c>
      <c r="Q13" s="1">
        <v>6.2899999999999998E-2</v>
      </c>
      <c r="R13" s="1">
        <v>0.33650000000000002</v>
      </c>
      <c r="S13" s="1">
        <v>0.1336</v>
      </c>
      <c r="T13" s="1">
        <v>4.6199999999999998E-2</v>
      </c>
      <c r="U13" s="1">
        <v>1.83E-2</v>
      </c>
      <c r="V13" s="1">
        <v>184.25</v>
      </c>
      <c r="W13" s="1">
        <v>-0.33860000000000001</v>
      </c>
      <c r="X13" t="str">
        <f t="shared" si="0"/>
        <v>NO</v>
      </c>
    </row>
    <row r="14" spans="1:24" x14ac:dyDescent="0.2">
      <c r="A14" s="1" t="s">
        <v>41</v>
      </c>
      <c r="B14" s="2" t="s">
        <v>142</v>
      </c>
      <c r="C14" s="1">
        <v>820</v>
      </c>
      <c r="D14" s="1" t="s">
        <v>23</v>
      </c>
      <c r="E14" s="1" t="s">
        <v>40</v>
      </c>
      <c r="F14" s="1" t="s">
        <v>25</v>
      </c>
      <c r="G14" s="1" t="s">
        <v>30</v>
      </c>
      <c r="H14" s="1">
        <v>1150.8900000000001</v>
      </c>
      <c r="I14" s="1">
        <v>126</v>
      </c>
      <c r="J14" s="1">
        <v>9.1</v>
      </c>
      <c r="K14" s="1">
        <v>21.06</v>
      </c>
      <c r="L14" s="1">
        <v>2.9039999999999999</v>
      </c>
      <c r="M14" s="1">
        <v>7.3000000000000001E-3</v>
      </c>
      <c r="N14" s="1">
        <v>0.13350000000000001</v>
      </c>
      <c r="O14" s="1">
        <v>0.21840000000000001</v>
      </c>
      <c r="P14" s="1">
        <v>0.318</v>
      </c>
      <c r="Q14" s="1">
        <v>0.1341</v>
      </c>
      <c r="R14" s="1">
        <v>0.36399999999999999</v>
      </c>
      <c r="S14" s="1">
        <v>0.1158</v>
      </c>
      <c r="T14" s="1">
        <v>0</v>
      </c>
      <c r="U14" s="1">
        <v>0</v>
      </c>
      <c r="W14" s="1">
        <v>-4.7699999999999999E-2</v>
      </c>
      <c r="X14" t="str">
        <f t="shared" si="0"/>
        <v>NO</v>
      </c>
    </row>
    <row r="15" spans="1:24" x14ac:dyDescent="0.2">
      <c r="A15" s="1" t="s">
        <v>42</v>
      </c>
      <c r="B15" s="2" t="s">
        <v>143</v>
      </c>
      <c r="C15" s="1">
        <v>820</v>
      </c>
      <c r="D15" s="1" t="s">
        <v>23</v>
      </c>
      <c r="E15" s="1" t="s">
        <v>40</v>
      </c>
      <c r="F15" s="1" t="s">
        <v>25</v>
      </c>
      <c r="G15" s="1" t="s">
        <v>28</v>
      </c>
      <c r="H15" s="1">
        <v>832.56</v>
      </c>
      <c r="I15" s="1">
        <v>447</v>
      </c>
      <c r="J15" s="1">
        <v>1.86</v>
      </c>
      <c r="K15" s="1">
        <v>10.92</v>
      </c>
      <c r="L15" s="1">
        <v>0.95799999999999996</v>
      </c>
      <c r="M15" s="1">
        <v>1.14E-2</v>
      </c>
      <c r="N15" s="1">
        <v>0.1487</v>
      </c>
      <c r="O15" s="1">
        <v>0.45989999999999998</v>
      </c>
      <c r="P15" s="1">
        <v>0.51459999999999995</v>
      </c>
      <c r="Q15" s="1">
        <v>3.2000000000000001E-2</v>
      </c>
      <c r="R15" s="1">
        <v>0.19589999999999999</v>
      </c>
      <c r="S15" s="1">
        <v>0.1008</v>
      </c>
      <c r="T15" s="1">
        <v>3.8E-3</v>
      </c>
      <c r="U15" s="1">
        <v>1.9E-3</v>
      </c>
      <c r="V15" s="1">
        <v>492.06</v>
      </c>
      <c r="W15" s="1">
        <v>-0.27529999999999999</v>
      </c>
      <c r="X15" t="str">
        <f t="shared" si="0"/>
        <v>NO</v>
      </c>
    </row>
    <row r="16" spans="1:24" x14ac:dyDescent="0.2">
      <c r="A16" s="1" t="s">
        <v>43</v>
      </c>
      <c r="B16" s="2" t="s">
        <v>144</v>
      </c>
      <c r="C16" s="1">
        <v>820</v>
      </c>
      <c r="D16" s="1" t="s">
        <v>23</v>
      </c>
      <c r="E16" s="1" t="s">
        <v>40</v>
      </c>
      <c r="F16" s="1" t="s">
        <v>25</v>
      </c>
      <c r="G16" s="1" t="s">
        <v>30</v>
      </c>
      <c r="H16" s="1">
        <v>342.44</v>
      </c>
      <c r="I16" s="1">
        <v>26</v>
      </c>
      <c r="J16" s="1">
        <v>13.25</v>
      </c>
      <c r="K16" s="1">
        <v>30.13</v>
      </c>
      <c r="L16" s="1">
        <v>5.7549999999999999</v>
      </c>
      <c r="M16" s="1">
        <v>5.1999999999999998E-3</v>
      </c>
      <c r="N16" s="1">
        <v>0.14149999999999999</v>
      </c>
      <c r="O16" s="1">
        <v>7.3599999999999999E-2</v>
      </c>
      <c r="P16" s="1">
        <v>0.437</v>
      </c>
      <c r="Q16" s="1">
        <v>0</v>
      </c>
      <c r="R16" s="1">
        <v>0.26729999999999998</v>
      </c>
      <c r="S16" s="1">
        <v>0.1168</v>
      </c>
      <c r="T16" s="1">
        <v>0</v>
      </c>
      <c r="U16" s="1">
        <v>0</v>
      </c>
      <c r="W16" s="1">
        <v>-0.89019999999999999</v>
      </c>
      <c r="X16" t="str">
        <f t="shared" si="0"/>
        <v>NO</v>
      </c>
    </row>
    <row r="17" spans="1:24" x14ac:dyDescent="0.2">
      <c r="A17" s="1" t="s">
        <v>44</v>
      </c>
      <c r="B17" s="2" t="s">
        <v>145</v>
      </c>
      <c r="C17" s="1">
        <v>820</v>
      </c>
      <c r="D17" s="1" t="s">
        <v>23</v>
      </c>
      <c r="E17" s="1" t="s">
        <v>40</v>
      </c>
      <c r="F17" s="1" t="s">
        <v>25</v>
      </c>
      <c r="G17" s="1" t="s">
        <v>30</v>
      </c>
      <c r="H17" s="1">
        <v>316.38</v>
      </c>
      <c r="I17" s="1">
        <v>38</v>
      </c>
      <c r="J17" s="1">
        <v>8.31</v>
      </c>
      <c r="K17" s="1">
        <v>29.74</v>
      </c>
      <c r="L17" s="1">
        <v>4.09</v>
      </c>
      <c r="M17" s="1">
        <v>7.3000000000000001E-3</v>
      </c>
      <c r="N17" s="1">
        <v>0.3735</v>
      </c>
      <c r="O17" s="1">
        <v>0.22159999999999999</v>
      </c>
      <c r="P17" s="1">
        <v>0.49130000000000001</v>
      </c>
      <c r="Q17" s="1">
        <v>0.1026</v>
      </c>
      <c r="R17" s="1">
        <v>0.32919999999999999</v>
      </c>
      <c r="S17" s="1">
        <v>0.16170000000000001</v>
      </c>
      <c r="T17" s="1">
        <v>0</v>
      </c>
      <c r="U17" s="1">
        <v>0</v>
      </c>
      <c r="W17" s="1">
        <v>0.32240000000000002</v>
      </c>
      <c r="X17" t="str">
        <f t="shared" si="0"/>
        <v>YES</v>
      </c>
    </row>
    <row r="18" spans="1:24" x14ac:dyDescent="0.2">
      <c r="A18" s="1" t="s">
        <v>45</v>
      </c>
      <c r="B18" s="2" t="s">
        <v>146</v>
      </c>
      <c r="C18" s="1">
        <v>820</v>
      </c>
      <c r="D18" s="1" t="s">
        <v>23</v>
      </c>
      <c r="E18" s="1" t="s">
        <v>40</v>
      </c>
      <c r="F18" s="1" t="s">
        <v>25</v>
      </c>
      <c r="G18" s="1" t="s">
        <v>30</v>
      </c>
      <c r="H18" s="1">
        <v>299.99</v>
      </c>
      <c r="I18" s="1">
        <v>7</v>
      </c>
      <c r="J18" s="1">
        <v>44.12</v>
      </c>
      <c r="K18" s="1">
        <v>20.63</v>
      </c>
      <c r="L18" s="1">
        <v>6.149</v>
      </c>
      <c r="M18" s="1">
        <v>3.3999999999999998E-3</v>
      </c>
      <c r="N18" s="1">
        <v>0.2097</v>
      </c>
      <c r="O18" s="1">
        <v>0.23810000000000001</v>
      </c>
      <c r="P18" s="1">
        <v>0.14349999999999999</v>
      </c>
      <c r="Q18" s="1">
        <v>0.1857</v>
      </c>
      <c r="R18" s="1">
        <v>0.1986</v>
      </c>
      <c r="S18" s="1">
        <v>2.8500000000000001E-2</v>
      </c>
      <c r="T18" s="1">
        <v>0</v>
      </c>
      <c r="U18" s="1">
        <v>0</v>
      </c>
      <c r="W18" s="1">
        <v>4.8599999999999997E-2</v>
      </c>
      <c r="X18" t="str">
        <f t="shared" si="0"/>
        <v>YES</v>
      </c>
    </row>
    <row r="19" spans="1:24" x14ac:dyDescent="0.2">
      <c r="A19" s="1" t="s">
        <v>46</v>
      </c>
      <c r="B19" s="2" t="s">
        <v>147</v>
      </c>
      <c r="C19" s="1">
        <v>820</v>
      </c>
      <c r="D19" s="1" t="s">
        <v>23</v>
      </c>
      <c r="E19" s="1" t="s">
        <v>40</v>
      </c>
      <c r="F19" s="1" t="s">
        <v>25</v>
      </c>
      <c r="G19" s="1" t="s">
        <v>30</v>
      </c>
      <c r="H19" s="1">
        <v>385.79</v>
      </c>
      <c r="I19" s="1">
        <v>11</v>
      </c>
      <c r="J19" s="1">
        <v>35.46</v>
      </c>
      <c r="K19" s="1">
        <v>37.090000000000003</v>
      </c>
      <c r="L19" s="1">
        <v>4.6980000000000004</v>
      </c>
      <c r="M19" s="1">
        <v>7.9000000000000008E-3</v>
      </c>
      <c r="N19" s="1">
        <v>0.47020000000000001</v>
      </c>
      <c r="O19" s="1">
        <v>0.15140000000000001</v>
      </c>
      <c r="P19" s="1">
        <v>0.13400000000000001</v>
      </c>
      <c r="Q19" s="1">
        <v>0.2364</v>
      </c>
      <c r="R19" s="1">
        <v>0.50549999999999995</v>
      </c>
      <c r="S19" s="1">
        <v>6.7699999999999996E-2</v>
      </c>
      <c r="T19" s="1">
        <v>0</v>
      </c>
      <c r="U19" s="1">
        <v>0</v>
      </c>
      <c r="W19" s="1">
        <v>-0.59650000000000003</v>
      </c>
      <c r="X19" t="str">
        <f t="shared" si="0"/>
        <v>NO</v>
      </c>
    </row>
    <row r="20" spans="1:24" x14ac:dyDescent="0.2">
      <c r="A20" s="1" t="s">
        <v>47</v>
      </c>
      <c r="B20" s="2" t="s">
        <v>148</v>
      </c>
      <c r="C20" s="1">
        <v>820</v>
      </c>
      <c r="D20" s="1" t="s">
        <v>23</v>
      </c>
      <c r="E20" s="1" t="s">
        <v>40</v>
      </c>
      <c r="F20" s="1" t="s">
        <v>25</v>
      </c>
      <c r="G20" s="1" t="s">
        <v>30</v>
      </c>
      <c r="H20" s="1">
        <v>249.06</v>
      </c>
      <c r="I20" s="1">
        <v>8</v>
      </c>
      <c r="J20" s="1">
        <v>30.52</v>
      </c>
      <c r="K20" s="1">
        <v>20.5</v>
      </c>
      <c r="L20" s="1">
        <v>1.8360000000000001</v>
      </c>
      <c r="M20" s="1">
        <v>1.12E-2</v>
      </c>
      <c r="N20" s="1">
        <v>0.28189999999999998</v>
      </c>
      <c r="O20" s="1">
        <v>0.46949999999999997</v>
      </c>
      <c r="P20" s="1">
        <v>5.8999999999999997E-2</v>
      </c>
      <c r="Q20" s="1">
        <v>0.32500000000000001</v>
      </c>
      <c r="R20" s="1">
        <v>0.17369999999999999</v>
      </c>
      <c r="S20" s="1">
        <v>1.0200000000000001E-2</v>
      </c>
      <c r="T20" s="1">
        <v>0</v>
      </c>
      <c r="U20" s="1">
        <v>0</v>
      </c>
      <c r="W20" s="1">
        <v>-0.74219999999999997</v>
      </c>
      <c r="X20" t="str">
        <f t="shared" si="0"/>
        <v>NO</v>
      </c>
    </row>
    <row r="21" spans="1:24" x14ac:dyDescent="0.2">
      <c r="A21" s="1" t="s">
        <v>48</v>
      </c>
      <c r="B21" s="2" t="s">
        <v>147</v>
      </c>
      <c r="C21" s="1">
        <v>820</v>
      </c>
      <c r="D21" s="1" t="s">
        <v>23</v>
      </c>
      <c r="E21" s="1" t="s">
        <v>40</v>
      </c>
      <c r="F21" s="1" t="s">
        <v>25</v>
      </c>
      <c r="G21" s="1" t="s">
        <v>30</v>
      </c>
      <c r="H21" s="1">
        <v>284.18</v>
      </c>
      <c r="I21" s="1">
        <v>7</v>
      </c>
      <c r="J21" s="1">
        <v>41.79</v>
      </c>
      <c r="K21" s="1">
        <v>27.35</v>
      </c>
      <c r="L21" s="1">
        <v>3.411</v>
      </c>
      <c r="M21" s="1">
        <v>8.0000000000000002E-3</v>
      </c>
      <c r="N21" s="1">
        <v>0.25740000000000002</v>
      </c>
      <c r="O21" s="1">
        <v>0.2616</v>
      </c>
      <c r="P21" s="1">
        <v>8.4000000000000005E-2</v>
      </c>
      <c r="Q21" s="1">
        <v>0</v>
      </c>
      <c r="R21" s="1">
        <v>0.1986</v>
      </c>
      <c r="S21" s="1">
        <v>1.67E-2</v>
      </c>
      <c r="T21" s="1">
        <v>0</v>
      </c>
      <c r="U21" s="1">
        <v>0</v>
      </c>
      <c r="W21" s="1">
        <v>-0.30120000000000002</v>
      </c>
      <c r="X21" t="str">
        <f t="shared" si="0"/>
        <v>NO</v>
      </c>
    </row>
    <row r="22" spans="1:24" x14ac:dyDescent="0.2">
      <c r="A22" s="1" t="s">
        <v>49</v>
      </c>
      <c r="B22" s="2" t="s">
        <v>149</v>
      </c>
      <c r="C22" s="1">
        <v>820</v>
      </c>
      <c r="D22" s="1" t="s">
        <v>23</v>
      </c>
      <c r="E22" s="1" t="s">
        <v>40</v>
      </c>
      <c r="F22" s="1" t="s">
        <v>25</v>
      </c>
      <c r="G22" s="1" t="s">
        <v>30</v>
      </c>
      <c r="H22" s="1">
        <v>212.13</v>
      </c>
      <c r="I22" s="1">
        <v>14</v>
      </c>
      <c r="J22" s="1">
        <v>15.6</v>
      </c>
      <c r="K22" s="1">
        <v>40.14</v>
      </c>
      <c r="L22" s="1">
        <v>8.9130000000000003</v>
      </c>
      <c r="M22" s="1">
        <v>4.4999999999999997E-3</v>
      </c>
      <c r="N22" s="1">
        <v>0.1258</v>
      </c>
      <c r="O22" s="1">
        <v>0.108</v>
      </c>
      <c r="P22" s="1">
        <v>0.58819999999999995</v>
      </c>
      <c r="Q22" s="1">
        <v>0</v>
      </c>
      <c r="R22" s="1">
        <v>0.69499999999999995</v>
      </c>
      <c r="S22" s="1">
        <v>0.4088</v>
      </c>
      <c r="T22" s="1">
        <v>0</v>
      </c>
      <c r="U22" s="1">
        <v>0</v>
      </c>
      <c r="W22" s="1">
        <v>-0.98550000000000004</v>
      </c>
      <c r="X22" t="str">
        <f t="shared" si="0"/>
        <v>NO</v>
      </c>
    </row>
    <row r="23" spans="1:24" x14ac:dyDescent="0.2">
      <c r="A23" s="1" t="s">
        <v>50</v>
      </c>
      <c r="B23" s="2" t="s">
        <v>150</v>
      </c>
      <c r="C23" s="1">
        <v>820</v>
      </c>
      <c r="D23" s="1" t="s">
        <v>23</v>
      </c>
      <c r="E23" s="1" t="s">
        <v>40</v>
      </c>
      <c r="F23" s="1" t="s">
        <v>25</v>
      </c>
      <c r="G23" s="1" t="s">
        <v>30</v>
      </c>
      <c r="H23" s="1">
        <v>196.06</v>
      </c>
      <c r="I23" s="1">
        <v>12</v>
      </c>
      <c r="J23" s="1">
        <v>16.02</v>
      </c>
      <c r="K23" s="1">
        <v>57.4</v>
      </c>
      <c r="L23" s="1">
        <v>9.6920000000000002</v>
      </c>
      <c r="M23" s="1">
        <v>5.8999999999999999E-3</v>
      </c>
      <c r="N23" s="1">
        <v>9.69E-2</v>
      </c>
      <c r="O23" s="1">
        <v>0.30520000000000003</v>
      </c>
      <c r="P23" s="1">
        <v>0.59319999999999995</v>
      </c>
      <c r="Q23" s="1">
        <v>0</v>
      </c>
      <c r="R23" s="1">
        <v>0.69499999999999995</v>
      </c>
      <c r="S23" s="1">
        <v>0.4123</v>
      </c>
      <c r="T23" s="1">
        <v>0</v>
      </c>
      <c r="U23" s="1">
        <v>0</v>
      </c>
      <c r="W23" s="1">
        <v>-1</v>
      </c>
      <c r="X23" t="str">
        <f t="shared" si="0"/>
        <v>NO</v>
      </c>
    </row>
    <row r="24" spans="1:24" x14ac:dyDescent="0.2">
      <c r="A24" s="1" t="s">
        <v>51</v>
      </c>
      <c r="B24" s="2" t="s">
        <v>151</v>
      </c>
      <c r="C24" s="1">
        <v>820</v>
      </c>
      <c r="D24" s="1" t="s">
        <v>23</v>
      </c>
      <c r="E24" s="1" t="s">
        <v>40</v>
      </c>
      <c r="F24" s="1" t="s">
        <v>25</v>
      </c>
      <c r="G24" s="1" t="s">
        <v>30</v>
      </c>
      <c r="H24" s="1">
        <v>174.94</v>
      </c>
      <c r="I24" s="1">
        <v>4</v>
      </c>
      <c r="J24" s="1">
        <v>42.88</v>
      </c>
      <c r="K24" s="1">
        <v>29.53</v>
      </c>
      <c r="L24" s="1">
        <v>2.722</v>
      </c>
      <c r="M24" s="1">
        <v>1.0800000000000001E-2</v>
      </c>
      <c r="N24" s="1">
        <v>0.36009999999999998</v>
      </c>
      <c r="O24" s="1">
        <v>0.15459999999999999</v>
      </c>
      <c r="P24" s="1">
        <v>6.2199999999999998E-2</v>
      </c>
      <c r="Q24" s="1">
        <v>0</v>
      </c>
      <c r="R24" s="1">
        <v>0.34749999999999998</v>
      </c>
      <c r="S24" s="1">
        <v>2.1600000000000001E-2</v>
      </c>
      <c r="T24" s="1">
        <v>0</v>
      </c>
      <c r="U24" s="1">
        <v>0</v>
      </c>
      <c r="W24" s="1">
        <v>-0.87239999999999995</v>
      </c>
      <c r="X24" t="str">
        <f t="shared" si="0"/>
        <v>NO</v>
      </c>
    </row>
    <row r="25" spans="1:24" x14ac:dyDescent="0.2">
      <c r="A25" s="1" t="s">
        <v>52</v>
      </c>
      <c r="B25" s="2" t="s">
        <v>152</v>
      </c>
      <c r="C25" s="1">
        <v>820</v>
      </c>
      <c r="D25" s="1" t="s">
        <v>23</v>
      </c>
      <c r="E25" s="1" t="s">
        <v>40</v>
      </c>
      <c r="F25" s="1" t="s">
        <v>25</v>
      </c>
      <c r="G25" s="1" t="s">
        <v>30</v>
      </c>
      <c r="H25" s="1">
        <v>152.91999999999999</v>
      </c>
      <c r="I25" s="1">
        <v>10</v>
      </c>
      <c r="J25" s="1">
        <v>16.059999999999999</v>
      </c>
      <c r="K25" s="1">
        <v>32.270000000000003</v>
      </c>
      <c r="L25" s="1">
        <v>7.1390000000000002</v>
      </c>
      <c r="M25" s="1">
        <v>4.4999999999999997E-3</v>
      </c>
      <c r="N25" s="1">
        <v>0.1502</v>
      </c>
      <c r="O25" s="1">
        <v>0.28220000000000001</v>
      </c>
      <c r="P25" s="1">
        <v>0.46689999999999998</v>
      </c>
      <c r="Q25" s="1">
        <v>0.13</v>
      </c>
      <c r="R25" s="1">
        <v>0.27800000000000002</v>
      </c>
      <c r="S25" s="1">
        <v>0.1298</v>
      </c>
      <c r="T25" s="1">
        <v>0</v>
      </c>
      <c r="U25" s="1">
        <v>0</v>
      </c>
      <c r="W25" s="1">
        <v>-0.97189999999999999</v>
      </c>
      <c r="X25" t="str">
        <f t="shared" si="0"/>
        <v>NO</v>
      </c>
    </row>
    <row r="26" spans="1:24" x14ac:dyDescent="0.2">
      <c r="A26" s="1" t="s">
        <v>53</v>
      </c>
      <c r="B26" s="2" t="s">
        <v>153</v>
      </c>
      <c r="C26" s="1">
        <v>820</v>
      </c>
      <c r="D26" s="1" t="s">
        <v>23</v>
      </c>
      <c r="E26" s="1" t="s">
        <v>40</v>
      </c>
      <c r="F26" s="1" t="s">
        <v>25</v>
      </c>
      <c r="G26" s="1" t="s">
        <v>30</v>
      </c>
      <c r="H26" s="1">
        <v>102.7</v>
      </c>
      <c r="I26" s="1">
        <v>7</v>
      </c>
      <c r="J26" s="1">
        <v>15.1</v>
      </c>
      <c r="K26" s="1">
        <v>39.130000000000003</v>
      </c>
      <c r="L26" s="1">
        <v>4.5419999999999998</v>
      </c>
      <c r="M26" s="1">
        <v>8.6E-3</v>
      </c>
      <c r="N26" s="1">
        <v>9.1700000000000004E-2</v>
      </c>
      <c r="O26" s="1">
        <v>0.33150000000000002</v>
      </c>
      <c r="P26" s="1">
        <v>0.30959999999999999</v>
      </c>
      <c r="Q26" s="1">
        <v>0.1857</v>
      </c>
      <c r="R26" s="1">
        <v>0.39710000000000001</v>
      </c>
      <c r="S26" s="1">
        <v>0.123</v>
      </c>
      <c r="T26" s="1">
        <v>0</v>
      </c>
      <c r="U26" s="1">
        <v>0</v>
      </c>
      <c r="W26" s="1">
        <v>0.89259999999999995</v>
      </c>
      <c r="X26" t="str">
        <f t="shared" si="0"/>
        <v>YES</v>
      </c>
    </row>
    <row r="27" spans="1:24" x14ac:dyDescent="0.2">
      <c r="A27" s="1" t="s">
        <v>54</v>
      </c>
      <c r="B27" s="2" t="s">
        <v>154</v>
      </c>
      <c r="C27" s="1">
        <v>869</v>
      </c>
      <c r="D27" s="1" t="s">
        <v>55</v>
      </c>
      <c r="E27" s="1" t="s">
        <v>40</v>
      </c>
      <c r="F27" s="1" t="s">
        <v>25</v>
      </c>
      <c r="G27" s="1" t="s">
        <v>30</v>
      </c>
      <c r="H27" s="1">
        <v>26787.77</v>
      </c>
      <c r="I27" s="1">
        <v>1975</v>
      </c>
      <c r="J27" s="1">
        <v>13.57</v>
      </c>
      <c r="K27" s="1">
        <v>25.52</v>
      </c>
      <c r="L27" s="1">
        <v>4.9859999999999998</v>
      </c>
      <c r="M27" s="1">
        <v>5.1000000000000004E-3</v>
      </c>
      <c r="N27" s="1">
        <v>0.48220000000000002</v>
      </c>
      <c r="O27" s="1">
        <v>0.27510000000000001</v>
      </c>
      <c r="P27" s="1">
        <v>0.36759999999999998</v>
      </c>
      <c r="Q27" s="1">
        <v>0.1678</v>
      </c>
      <c r="R27" s="1">
        <v>0.46029999999999999</v>
      </c>
      <c r="S27" s="1">
        <v>0.16919999999999999</v>
      </c>
      <c r="T27" s="1">
        <v>1.3100000000000001E-2</v>
      </c>
      <c r="U27" s="1">
        <v>4.7999999999999996E-3</v>
      </c>
      <c r="V27" s="1">
        <v>1032.52</v>
      </c>
      <c r="W27" s="1">
        <v>5.2999999999999999E-2</v>
      </c>
      <c r="X27" t="str">
        <f t="shared" si="0"/>
        <v>YES</v>
      </c>
    </row>
    <row r="28" spans="1:24" x14ac:dyDescent="0.2">
      <c r="A28" s="1" t="s">
        <v>56</v>
      </c>
      <c r="B28" s="2" t="s">
        <v>155</v>
      </c>
      <c r="C28" s="1">
        <v>869</v>
      </c>
      <c r="D28" s="1" t="s">
        <v>55</v>
      </c>
      <c r="E28" s="1" t="s">
        <v>40</v>
      </c>
      <c r="F28" s="1" t="s">
        <v>25</v>
      </c>
      <c r="G28" s="1" t="s">
        <v>30</v>
      </c>
      <c r="H28" s="1">
        <v>19063.8</v>
      </c>
      <c r="I28" s="1">
        <v>1340</v>
      </c>
      <c r="J28" s="1">
        <v>14.23</v>
      </c>
      <c r="K28" s="1">
        <v>34.81</v>
      </c>
      <c r="L28" s="1">
        <v>5.1909999999999998</v>
      </c>
      <c r="M28" s="1">
        <v>6.7000000000000002E-3</v>
      </c>
      <c r="N28" s="1">
        <v>0.62209999999999999</v>
      </c>
      <c r="O28" s="1">
        <v>8.7900000000000006E-2</v>
      </c>
      <c r="P28" s="1">
        <v>0.3649</v>
      </c>
      <c r="Q28" s="1">
        <v>0.1416</v>
      </c>
      <c r="R28" s="1">
        <v>0.46260000000000001</v>
      </c>
      <c r="S28" s="1">
        <v>0.16880000000000001</v>
      </c>
      <c r="T28" s="1">
        <v>2.0199999999999999E-2</v>
      </c>
      <c r="U28" s="1">
        <v>7.4000000000000003E-3</v>
      </c>
      <c r="V28" s="1">
        <v>704.19</v>
      </c>
      <c r="W28" s="1">
        <v>8.8400000000000006E-2</v>
      </c>
      <c r="X28" t="str">
        <f t="shared" si="0"/>
        <v>YES</v>
      </c>
    </row>
    <row r="29" spans="1:24" x14ac:dyDescent="0.2">
      <c r="A29" s="1" t="s">
        <v>57</v>
      </c>
      <c r="B29" s="2" t="s">
        <v>156</v>
      </c>
      <c r="C29" s="1">
        <v>869</v>
      </c>
      <c r="D29" s="1" t="s">
        <v>55</v>
      </c>
      <c r="E29" s="1" t="s">
        <v>40</v>
      </c>
      <c r="F29" s="1" t="s">
        <v>25</v>
      </c>
      <c r="G29" s="1" t="s">
        <v>30</v>
      </c>
      <c r="H29" s="1">
        <v>2934.96</v>
      </c>
      <c r="I29" s="1">
        <v>129</v>
      </c>
      <c r="J29" s="1">
        <v>22.72</v>
      </c>
      <c r="K29" s="1">
        <v>21.87</v>
      </c>
      <c r="L29" s="1">
        <v>3.665</v>
      </c>
      <c r="M29" s="1">
        <v>6.0000000000000001E-3</v>
      </c>
      <c r="N29" s="1">
        <v>0.20910000000000001</v>
      </c>
      <c r="O29" s="1">
        <v>0.3392</v>
      </c>
      <c r="P29" s="1">
        <v>0.16109999999999999</v>
      </c>
      <c r="Q29" s="1">
        <v>0.18140000000000001</v>
      </c>
      <c r="R29" s="1">
        <v>0.4849</v>
      </c>
      <c r="S29" s="1">
        <v>7.8100000000000003E-2</v>
      </c>
      <c r="T29" s="1">
        <v>3.2800000000000003E-2</v>
      </c>
      <c r="U29" s="1">
        <v>5.3E-3</v>
      </c>
      <c r="V29" s="1">
        <v>693.84</v>
      </c>
      <c r="W29" s="1">
        <v>-0.2291</v>
      </c>
      <c r="X29" t="str">
        <f t="shared" si="0"/>
        <v>NO</v>
      </c>
    </row>
    <row r="30" spans="1:24" x14ac:dyDescent="0.2">
      <c r="A30" s="1" t="s">
        <v>58</v>
      </c>
      <c r="B30" s="2" t="s">
        <v>157</v>
      </c>
      <c r="C30" s="1">
        <v>869</v>
      </c>
      <c r="D30" s="1" t="s">
        <v>55</v>
      </c>
      <c r="E30" s="1" t="s">
        <v>40</v>
      </c>
      <c r="F30" s="1" t="s">
        <v>25</v>
      </c>
      <c r="G30" s="1" t="s">
        <v>30</v>
      </c>
      <c r="H30" s="1">
        <v>1633.08</v>
      </c>
      <c r="I30" s="1">
        <v>75</v>
      </c>
      <c r="J30" s="1">
        <v>21.83</v>
      </c>
      <c r="K30" s="1">
        <v>45.35</v>
      </c>
      <c r="L30" s="1">
        <v>9.7330000000000005</v>
      </c>
      <c r="M30" s="1">
        <v>4.7000000000000002E-3</v>
      </c>
      <c r="N30" s="1">
        <v>0.13830000000000001</v>
      </c>
      <c r="O30" s="1">
        <v>0.16289999999999999</v>
      </c>
      <c r="P30" s="1">
        <v>0.44700000000000001</v>
      </c>
      <c r="Q30" s="1">
        <v>0.2427</v>
      </c>
      <c r="R30" s="1">
        <v>0.68569999999999998</v>
      </c>
      <c r="S30" s="1">
        <v>0.30649999999999999</v>
      </c>
      <c r="T30" s="1">
        <v>1.8800000000000001E-2</v>
      </c>
      <c r="U30" s="1">
        <v>8.3999999999999995E-3</v>
      </c>
      <c r="V30" s="1">
        <v>1158.21</v>
      </c>
      <c r="W30" s="1">
        <v>-4.7500000000000001E-2</v>
      </c>
      <c r="X30" t="str">
        <f t="shared" si="0"/>
        <v>NO</v>
      </c>
    </row>
    <row r="31" spans="1:24" x14ac:dyDescent="0.2">
      <c r="A31" s="1" t="s">
        <v>59</v>
      </c>
      <c r="B31" s="2" t="s">
        <v>158</v>
      </c>
      <c r="C31" s="1">
        <v>869</v>
      </c>
      <c r="D31" s="1" t="s">
        <v>55</v>
      </c>
      <c r="E31" s="1" t="s">
        <v>40</v>
      </c>
      <c r="F31" s="1" t="s">
        <v>25</v>
      </c>
      <c r="G31" s="1" t="s">
        <v>30</v>
      </c>
      <c r="H31" s="1">
        <v>1227.8900000000001</v>
      </c>
      <c r="I31" s="1">
        <v>41</v>
      </c>
      <c r="J31" s="1">
        <v>30.1</v>
      </c>
      <c r="K31" s="1">
        <v>23.51</v>
      </c>
      <c r="L31" s="1">
        <v>4.4859999999999998</v>
      </c>
      <c r="M31" s="1">
        <v>5.1999999999999998E-3</v>
      </c>
      <c r="N31" s="1">
        <v>0.1181</v>
      </c>
      <c r="O31" s="1">
        <v>0.23050000000000001</v>
      </c>
      <c r="P31" s="1">
        <v>0.14979999999999999</v>
      </c>
      <c r="Q31" s="1">
        <v>0.31709999999999999</v>
      </c>
      <c r="R31" s="1">
        <v>0.47460000000000002</v>
      </c>
      <c r="S31" s="1">
        <v>7.1099999999999997E-2</v>
      </c>
      <c r="T31" s="1">
        <v>0</v>
      </c>
      <c r="U31" s="1">
        <v>0</v>
      </c>
      <c r="W31" s="1">
        <v>5.3900000000000003E-2</v>
      </c>
      <c r="X31" t="str">
        <f t="shared" si="0"/>
        <v>YES</v>
      </c>
    </row>
    <row r="32" spans="1:24" x14ac:dyDescent="0.2">
      <c r="A32" s="1" t="s">
        <v>60</v>
      </c>
      <c r="B32" s="2" t="s">
        <v>159</v>
      </c>
      <c r="C32" s="1">
        <v>869</v>
      </c>
      <c r="D32" s="1" t="s">
        <v>55</v>
      </c>
      <c r="E32" s="1" t="s">
        <v>40</v>
      </c>
      <c r="F32" s="1" t="s">
        <v>25</v>
      </c>
      <c r="G32" s="1" t="s">
        <v>30</v>
      </c>
      <c r="H32" s="1">
        <v>949.35</v>
      </c>
      <c r="I32" s="1">
        <v>44</v>
      </c>
      <c r="J32" s="1">
        <v>21.81</v>
      </c>
      <c r="K32" s="1">
        <v>27.38</v>
      </c>
      <c r="L32" s="1">
        <v>7.5259999999999998</v>
      </c>
      <c r="M32" s="1">
        <v>3.5999999999999999E-3</v>
      </c>
      <c r="N32" s="1">
        <v>0.1757</v>
      </c>
      <c r="O32" s="1">
        <v>0.10639999999999999</v>
      </c>
      <c r="P32" s="1">
        <v>0.3488</v>
      </c>
      <c r="Q32" s="1">
        <v>0.1182</v>
      </c>
      <c r="R32" s="1">
        <v>0.41070000000000001</v>
      </c>
      <c r="S32" s="1">
        <v>0.14330000000000001</v>
      </c>
      <c r="T32" s="1">
        <v>0</v>
      </c>
      <c r="U32" s="1">
        <v>0</v>
      </c>
      <c r="W32" s="1">
        <v>-0.70330000000000004</v>
      </c>
      <c r="X32" t="str">
        <f t="shared" si="0"/>
        <v>NO</v>
      </c>
    </row>
    <row r="33" spans="1:24" x14ac:dyDescent="0.2">
      <c r="A33" s="1" t="s">
        <v>61</v>
      </c>
      <c r="B33" s="2" t="s">
        <v>160</v>
      </c>
      <c r="C33" s="1">
        <v>869</v>
      </c>
      <c r="D33" s="1" t="s">
        <v>55</v>
      </c>
      <c r="E33" s="1" t="s">
        <v>40</v>
      </c>
      <c r="F33" s="1" t="s">
        <v>25</v>
      </c>
      <c r="G33" s="1" t="s">
        <v>30</v>
      </c>
      <c r="H33" s="1">
        <v>808.28</v>
      </c>
      <c r="I33" s="1">
        <v>35</v>
      </c>
      <c r="J33" s="1">
        <v>22.86</v>
      </c>
      <c r="K33" s="1">
        <v>33.26</v>
      </c>
      <c r="L33" s="1">
        <v>6.7919999999999998</v>
      </c>
      <c r="M33" s="1">
        <v>4.8999999999999998E-3</v>
      </c>
      <c r="N33" s="1">
        <v>0.22850000000000001</v>
      </c>
      <c r="O33" s="1">
        <v>0.1794</v>
      </c>
      <c r="P33" s="1">
        <v>0.29409999999999997</v>
      </c>
      <c r="Q33" s="1">
        <v>0.22289999999999999</v>
      </c>
      <c r="R33" s="1">
        <v>0.59570000000000001</v>
      </c>
      <c r="S33" s="1">
        <v>0.17519999999999999</v>
      </c>
      <c r="T33" s="1">
        <v>4.0300000000000002E-2</v>
      </c>
      <c r="U33" s="1">
        <v>1.18E-2</v>
      </c>
      <c r="V33" s="1">
        <v>573.25</v>
      </c>
      <c r="W33" s="1">
        <v>0.48830000000000001</v>
      </c>
      <c r="X33" t="str">
        <f t="shared" si="0"/>
        <v>YES</v>
      </c>
    </row>
    <row r="34" spans="1:24" x14ac:dyDescent="0.2">
      <c r="A34" s="1" t="s">
        <v>62</v>
      </c>
      <c r="B34" s="2" t="s">
        <v>161</v>
      </c>
      <c r="C34" s="1">
        <v>869</v>
      </c>
      <c r="D34" s="1" t="s">
        <v>55</v>
      </c>
      <c r="E34" s="1" t="s">
        <v>40</v>
      </c>
      <c r="F34" s="1" t="s">
        <v>25</v>
      </c>
      <c r="G34" s="1" t="s">
        <v>30</v>
      </c>
      <c r="H34" s="1">
        <v>681.2</v>
      </c>
      <c r="I34" s="1">
        <v>48</v>
      </c>
      <c r="J34" s="1">
        <v>14.31</v>
      </c>
      <c r="K34" s="1">
        <v>28.54</v>
      </c>
      <c r="L34" s="1">
        <v>5.4</v>
      </c>
      <c r="M34" s="1">
        <v>5.3E-3</v>
      </c>
      <c r="N34" s="1">
        <v>0.28649999999999998</v>
      </c>
      <c r="O34" s="1">
        <v>0.3609</v>
      </c>
      <c r="P34" s="1">
        <v>0.3805</v>
      </c>
      <c r="Q34" s="1">
        <v>0.10829999999999999</v>
      </c>
      <c r="R34" s="1">
        <v>0.43440000000000001</v>
      </c>
      <c r="S34" s="1">
        <v>0.1653</v>
      </c>
      <c r="T34" s="1">
        <v>0</v>
      </c>
      <c r="U34" s="1">
        <v>0</v>
      </c>
      <c r="W34" s="1">
        <v>-0.40200000000000002</v>
      </c>
      <c r="X34" t="str">
        <f t="shared" si="0"/>
        <v>NO</v>
      </c>
    </row>
    <row r="35" spans="1:24" x14ac:dyDescent="0.2">
      <c r="A35" s="1" t="s">
        <v>63</v>
      </c>
      <c r="B35" s="2" t="s">
        <v>159</v>
      </c>
      <c r="C35" s="1">
        <v>869</v>
      </c>
      <c r="D35" s="1" t="s">
        <v>55</v>
      </c>
      <c r="E35" s="1" t="s">
        <v>40</v>
      </c>
      <c r="F35" s="1" t="s">
        <v>25</v>
      </c>
      <c r="G35" s="1" t="s">
        <v>30</v>
      </c>
      <c r="H35" s="1">
        <v>647.69000000000005</v>
      </c>
      <c r="I35" s="1">
        <v>24</v>
      </c>
      <c r="J35" s="1">
        <v>26.46</v>
      </c>
      <c r="K35" s="1">
        <v>37.49</v>
      </c>
      <c r="L35" s="1">
        <v>3.202</v>
      </c>
      <c r="M35" s="1">
        <v>1.17E-2</v>
      </c>
      <c r="N35" s="1">
        <v>0.18079999999999999</v>
      </c>
      <c r="O35" s="1">
        <v>0.17580000000000001</v>
      </c>
      <c r="P35" s="1">
        <v>0.1186</v>
      </c>
      <c r="Q35" s="1">
        <v>0.32500000000000001</v>
      </c>
      <c r="R35" s="1">
        <v>0.75290000000000001</v>
      </c>
      <c r="S35" s="1">
        <v>8.9300000000000004E-2</v>
      </c>
      <c r="T35" s="1">
        <v>0</v>
      </c>
      <c r="U35" s="1">
        <v>0</v>
      </c>
      <c r="W35" s="1">
        <v>-0.20469999999999999</v>
      </c>
      <c r="X35" t="str">
        <f t="shared" si="0"/>
        <v>NO</v>
      </c>
    </row>
    <row r="36" spans="1:24" x14ac:dyDescent="0.2">
      <c r="A36" s="1" t="s">
        <v>64</v>
      </c>
      <c r="B36" s="2" t="s">
        <v>162</v>
      </c>
      <c r="C36" s="1">
        <v>869</v>
      </c>
      <c r="D36" s="1" t="s">
        <v>55</v>
      </c>
      <c r="E36" s="1" t="s">
        <v>40</v>
      </c>
      <c r="F36" s="1" t="s">
        <v>25</v>
      </c>
      <c r="G36" s="1" t="s">
        <v>30</v>
      </c>
      <c r="H36" s="1">
        <v>608.6</v>
      </c>
      <c r="I36" s="1">
        <v>15</v>
      </c>
      <c r="J36" s="1">
        <v>40.68</v>
      </c>
      <c r="K36" s="1">
        <v>35.06</v>
      </c>
      <c r="L36" s="1">
        <v>3.653</v>
      </c>
      <c r="M36" s="1">
        <v>9.5999999999999992E-3</v>
      </c>
      <c r="N36" s="1">
        <v>0.2026</v>
      </c>
      <c r="O36" s="1">
        <v>0.2167</v>
      </c>
      <c r="P36" s="1">
        <v>0.09</v>
      </c>
      <c r="Q36" s="1">
        <v>0.52</v>
      </c>
      <c r="R36" s="1">
        <v>0.46329999999999999</v>
      </c>
      <c r="S36" s="1">
        <v>4.1700000000000001E-2</v>
      </c>
      <c r="T36" s="1">
        <v>0</v>
      </c>
      <c r="U36" s="1">
        <v>0</v>
      </c>
      <c r="W36" s="1">
        <v>-0.3145</v>
      </c>
      <c r="X36" t="str">
        <f t="shared" si="0"/>
        <v>NO</v>
      </c>
    </row>
    <row r="37" spans="1:24" x14ac:dyDescent="0.2">
      <c r="A37" s="1" t="s">
        <v>65</v>
      </c>
      <c r="B37" s="2" t="s">
        <v>163</v>
      </c>
      <c r="C37" s="1">
        <v>869</v>
      </c>
      <c r="D37" s="1" t="s">
        <v>55</v>
      </c>
      <c r="E37" s="1" t="s">
        <v>40</v>
      </c>
      <c r="F37" s="1" t="s">
        <v>25</v>
      </c>
      <c r="G37" s="1" t="s">
        <v>30</v>
      </c>
      <c r="H37" s="1">
        <v>564.74</v>
      </c>
      <c r="I37" s="1">
        <v>33</v>
      </c>
      <c r="J37" s="1">
        <v>17.3</v>
      </c>
      <c r="K37" s="1">
        <v>31.61</v>
      </c>
      <c r="L37" s="1">
        <v>7.5330000000000004</v>
      </c>
      <c r="M37" s="1">
        <v>4.1999999999999997E-3</v>
      </c>
      <c r="N37" s="1">
        <v>0.151</v>
      </c>
      <c r="O37" s="1">
        <v>4.7800000000000002E-2</v>
      </c>
      <c r="P37" s="1">
        <v>0.44019999999999998</v>
      </c>
      <c r="Q37" s="1">
        <v>0.1182</v>
      </c>
      <c r="R37" s="1">
        <v>0.5897</v>
      </c>
      <c r="S37" s="1">
        <v>0.2596</v>
      </c>
      <c r="T37" s="1">
        <v>0</v>
      </c>
      <c r="U37" s="1">
        <v>0</v>
      </c>
      <c r="W37" s="1">
        <v>-7.9500000000000001E-2</v>
      </c>
      <c r="X37" t="str">
        <f t="shared" si="0"/>
        <v>NO</v>
      </c>
    </row>
    <row r="38" spans="1:24" x14ac:dyDescent="0.2">
      <c r="A38" s="1" t="s">
        <v>66</v>
      </c>
      <c r="B38" s="2" t="s">
        <v>164</v>
      </c>
      <c r="C38" s="1">
        <v>869</v>
      </c>
      <c r="D38" s="1" t="s">
        <v>55</v>
      </c>
      <c r="E38" s="1" t="s">
        <v>40</v>
      </c>
      <c r="F38" s="1" t="s">
        <v>25</v>
      </c>
      <c r="G38" s="1" t="s">
        <v>30</v>
      </c>
      <c r="H38" s="1">
        <v>526.48</v>
      </c>
      <c r="I38" s="1">
        <v>24</v>
      </c>
      <c r="J38" s="1">
        <v>21.51</v>
      </c>
      <c r="K38" s="1">
        <v>27.47</v>
      </c>
      <c r="L38" s="1">
        <v>10.791</v>
      </c>
      <c r="M38" s="1">
        <v>2.5000000000000001E-3</v>
      </c>
      <c r="N38" s="1">
        <v>0.25940000000000002</v>
      </c>
      <c r="O38" s="1">
        <v>0.1177</v>
      </c>
      <c r="P38" s="1">
        <v>0.4919</v>
      </c>
      <c r="Q38" s="1">
        <v>0.16250000000000001</v>
      </c>
      <c r="R38" s="1">
        <v>0.5212</v>
      </c>
      <c r="S38" s="1">
        <v>0.25640000000000002</v>
      </c>
      <c r="T38" s="1">
        <v>0</v>
      </c>
      <c r="U38" s="1">
        <v>0</v>
      </c>
      <c r="W38" s="1">
        <v>-0.65280000000000005</v>
      </c>
      <c r="X38" t="str">
        <f t="shared" si="0"/>
        <v>NO</v>
      </c>
    </row>
    <row r="39" spans="1:24" x14ac:dyDescent="0.2">
      <c r="A39" s="1" t="s">
        <v>67</v>
      </c>
      <c r="B39" s="2" t="s">
        <v>165</v>
      </c>
      <c r="C39" s="1">
        <v>869</v>
      </c>
      <c r="D39" s="1" t="s">
        <v>55</v>
      </c>
      <c r="E39" s="1" t="s">
        <v>40</v>
      </c>
      <c r="F39" s="1" t="s">
        <v>25</v>
      </c>
      <c r="G39" s="1" t="s">
        <v>30</v>
      </c>
      <c r="H39" s="1">
        <v>389.08</v>
      </c>
      <c r="I39" s="1">
        <v>27</v>
      </c>
      <c r="J39" s="1">
        <v>14.3</v>
      </c>
      <c r="K39" s="1">
        <v>34.869999999999997</v>
      </c>
      <c r="L39" s="1">
        <v>7.266</v>
      </c>
      <c r="M39" s="1">
        <v>4.7999999999999996E-3</v>
      </c>
      <c r="N39" s="1">
        <v>0.2195</v>
      </c>
      <c r="O39" s="1">
        <v>0.1065</v>
      </c>
      <c r="P39" s="1">
        <v>0.50419999999999998</v>
      </c>
      <c r="Q39" s="1">
        <v>9.6299999999999997E-2</v>
      </c>
      <c r="R39" s="1">
        <v>0.61780000000000002</v>
      </c>
      <c r="S39" s="1">
        <v>0.3115</v>
      </c>
      <c r="T39" s="1">
        <v>5.2200000000000003E-2</v>
      </c>
      <c r="U39" s="1">
        <v>2.63E-2</v>
      </c>
      <c r="V39" s="1">
        <v>275.94</v>
      </c>
      <c r="W39" s="1">
        <v>-0.2331</v>
      </c>
      <c r="X39" t="str">
        <f t="shared" si="0"/>
        <v>NO</v>
      </c>
    </row>
    <row r="40" spans="1:24" x14ac:dyDescent="0.2">
      <c r="A40" s="1" t="s">
        <v>68</v>
      </c>
      <c r="B40" s="2" t="s">
        <v>166</v>
      </c>
      <c r="C40" s="1">
        <v>869</v>
      </c>
      <c r="D40" s="1" t="s">
        <v>55</v>
      </c>
      <c r="E40" s="1" t="s">
        <v>40</v>
      </c>
      <c r="F40" s="1" t="s">
        <v>25</v>
      </c>
      <c r="G40" s="1" t="s">
        <v>30</v>
      </c>
      <c r="H40" s="1">
        <v>338.71</v>
      </c>
      <c r="I40" s="1">
        <v>22</v>
      </c>
      <c r="J40" s="1">
        <v>15.57</v>
      </c>
      <c r="K40" s="1">
        <v>32</v>
      </c>
      <c r="L40" s="1">
        <v>7.1159999999999997</v>
      </c>
      <c r="M40" s="1">
        <v>4.4999999999999997E-3</v>
      </c>
      <c r="N40" s="1">
        <v>0.22420000000000001</v>
      </c>
      <c r="O40" s="1">
        <v>0.35149999999999998</v>
      </c>
      <c r="P40" s="1">
        <v>0.4622</v>
      </c>
      <c r="Q40" s="1">
        <v>0.1182</v>
      </c>
      <c r="R40" s="1">
        <v>0.56859999999999999</v>
      </c>
      <c r="S40" s="1">
        <v>0.26279999999999998</v>
      </c>
      <c r="T40" s="1">
        <v>0</v>
      </c>
      <c r="U40" s="1">
        <v>0</v>
      </c>
      <c r="W40" s="1">
        <v>-7.1900000000000006E-2</v>
      </c>
      <c r="X40" t="str">
        <f t="shared" si="0"/>
        <v>NO</v>
      </c>
    </row>
    <row r="41" spans="1:24" x14ac:dyDescent="0.2">
      <c r="A41" s="1" t="s">
        <v>69</v>
      </c>
      <c r="B41" s="2" t="s">
        <v>167</v>
      </c>
      <c r="C41" s="1">
        <v>869</v>
      </c>
      <c r="D41" s="1" t="s">
        <v>55</v>
      </c>
      <c r="E41" s="1" t="s">
        <v>40</v>
      </c>
      <c r="F41" s="1" t="s">
        <v>25</v>
      </c>
      <c r="G41" s="1" t="s">
        <v>30</v>
      </c>
      <c r="H41" s="1">
        <v>337.74</v>
      </c>
      <c r="I41" s="1">
        <v>19</v>
      </c>
      <c r="J41" s="1">
        <v>17.739999999999998</v>
      </c>
      <c r="K41" s="1">
        <v>33.24</v>
      </c>
      <c r="L41" s="1">
        <v>1.843</v>
      </c>
      <c r="M41" s="1">
        <v>1.7999999999999999E-2</v>
      </c>
      <c r="N41" s="1">
        <v>0.2286</v>
      </c>
      <c r="O41" s="1">
        <v>0.28470000000000001</v>
      </c>
      <c r="P41" s="1">
        <v>0.1037</v>
      </c>
      <c r="Q41" s="1">
        <v>0.34210000000000002</v>
      </c>
      <c r="R41" s="1">
        <v>0.65839999999999999</v>
      </c>
      <c r="S41" s="1">
        <v>6.83E-2</v>
      </c>
      <c r="T41" s="1">
        <v>2.9700000000000001E-2</v>
      </c>
      <c r="U41" s="1">
        <v>3.0999999999999999E-3</v>
      </c>
      <c r="V41" s="1">
        <v>598.84</v>
      </c>
      <c r="W41" s="1">
        <v>0.1598</v>
      </c>
      <c r="X41" t="str">
        <f t="shared" si="0"/>
        <v>YES</v>
      </c>
    </row>
    <row r="42" spans="1:24" x14ac:dyDescent="0.2">
      <c r="A42" s="1" t="s">
        <v>70</v>
      </c>
      <c r="B42" s="2" t="s">
        <v>168</v>
      </c>
      <c r="C42" s="1">
        <v>869</v>
      </c>
      <c r="D42" s="1" t="s">
        <v>55</v>
      </c>
      <c r="E42" s="1" t="s">
        <v>40</v>
      </c>
      <c r="F42" s="1" t="s">
        <v>25</v>
      </c>
      <c r="G42" s="1" t="s">
        <v>30</v>
      </c>
      <c r="H42" s="1">
        <v>326.33999999999997</v>
      </c>
      <c r="I42" s="1">
        <v>5</v>
      </c>
      <c r="J42" s="1">
        <v>59.99</v>
      </c>
      <c r="K42" s="1">
        <v>37.24</v>
      </c>
      <c r="L42" s="1">
        <v>1.7250000000000001</v>
      </c>
      <c r="M42" s="1">
        <v>2.1600000000000001E-2</v>
      </c>
      <c r="N42" s="1">
        <v>0.1983</v>
      </c>
      <c r="O42" s="1">
        <v>0.36270000000000002</v>
      </c>
      <c r="P42" s="1">
        <v>2.64E-2</v>
      </c>
      <c r="Q42" s="1">
        <v>0.52</v>
      </c>
      <c r="R42" s="1">
        <v>0.83399999999999996</v>
      </c>
      <c r="S42" s="1">
        <v>2.1999999999999999E-2</v>
      </c>
      <c r="T42" s="1">
        <v>0</v>
      </c>
      <c r="U42" s="1">
        <v>0</v>
      </c>
      <c r="W42" s="1">
        <v>-0.73480000000000001</v>
      </c>
      <c r="X42" t="str">
        <f t="shared" si="0"/>
        <v>NO</v>
      </c>
    </row>
    <row r="43" spans="1:24" x14ac:dyDescent="0.2">
      <c r="A43" s="1" t="s">
        <v>71</v>
      </c>
      <c r="B43" s="2" t="s">
        <v>169</v>
      </c>
      <c r="C43" s="1">
        <v>869</v>
      </c>
      <c r="D43" s="1" t="s">
        <v>55</v>
      </c>
      <c r="E43" s="1" t="s">
        <v>40</v>
      </c>
      <c r="F43" s="1" t="s">
        <v>25</v>
      </c>
      <c r="G43" s="1" t="s">
        <v>30</v>
      </c>
      <c r="H43" s="1">
        <v>298.27999999999997</v>
      </c>
      <c r="I43" s="1">
        <v>15</v>
      </c>
      <c r="J43" s="1">
        <v>19.940000000000001</v>
      </c>
      <c r="K43" s="1">
        <v>18.96</v>
      </c>
      <c r="L43" s="1">
        <v>5.0129999999999999</v>
      </c>
      <c r="M43" s="1">
        <v>3.8E-3</v>
      </c>
      <c r="N43" s="1">
        <v>0.26640000000000003</v>
      </c>
      <c r="O43" s="1">
        <v>4.2200000000000001E-2</v>
      </c>
      <c r="P43" s="1">
        <v>0.25209999999999999</v>
      </c>
      <c r="Q43" s="1">
        <v>0.26</v>
      </c>
      <c r="R43" s="1">
        <v>0.64870000000000005</v>
      </c>
      <c r="S43" s="1">
        <v>0.16350000000000001</v>
      </c>
      <c r="T43" s="1">
        <v>0</v>
      </c>
      <c r="U43" s="1">
        <v>0</v>
      </c>
      <c r="W43" s="1">
        <v>-0.30819999999999997</v>
      </c>
      <c r="X43" t="str">
        <f t="shared" si="0"/>
        <v>NO</v>
      </c>
    </row>
    <row r="44" spans="1:24" x14ac:dyDescent="0.2">
      <c r="A44" s="1" t="s">
        <v>72</v>
      </c>
      <c r="B44" s="2" t="s">
        <v>170</v>
      </c>
      <c r="C44" s="1">
        <v>869</v>
      </c>
      <c r="D44" s="1" t="s">
        <v>55</v>
      </c>
      <c r="E44" s="1" t="s">
        <v>40</v>
      </c>
      <c r="F44" s="1" t="s">
        <v>25</v>
      </c>
      <c r="G44" s="1" t="s">
        <v>30</v>
      </c>
      <c r="H44" s="1">
        <v>292.64999999999998</v>
      </c>
      <c r="I44" s="1">
        <v>19</v>
      </c>
      <c r="J44" s="1">
        <v>15.37</v>
      </c>
      <c r="K44" s="1">
        <v>21.78</v>
      </c>
      <c r="L44" s="1">
        <v>2.016</v>
      </c>
      <c r="M44" s="1">
        <v>1.0800000000000001E-2</v>
      </c>
      <c r="N44" s="1">
        <v>0.1258</v>
      </c>
      <c r="O44" s="1">
        <v>0.20219999999999999</v>
      </c>
      <c r="P44" s="1">
        <v>0.13089999999999999</v>
      </c>
      <c r="Q44" s="1">
        <v>6.8400000000000002E-2</v>
      </c>
      <c r="R44" s="1">
        <v>0.58530000000000004</v>
      </c>
      <c r="S44" s="1">
        <v>7.6600000000000001E-2</v>
      </c>
      <c r="T44" s="1">
        <v>7.4200000000000002E-2</v>
      </c>
      <c r="U44" s="1">
        <v>9.7000000000000003E-3</v>
      </c>
      <c r="V44" s="1">
        <v>207.55</v>
      </c>
      <c r="W44" s="1">
        <v>-0.82</v>
      </c>
      <c r="X44" t="str">
        <f t="shared" si="0"/>
        <v>NO</v>
      </c>
    </row>
    <row r="45" spans="1:24" x14ac:dyDescent="0.2">
      <c r="A45" s="1" t="s">
        <v>73</v>
      </c>
      <c r="B45" s="2" t="s">
        <v>171</v>
      </c>
      <c r="C45" s="1">
        <v>869</v>
      </c>
      <c r="D45" s="1" t="s">
        <v>55</v>
      </c>
      <c r="E45" s="1" t="s">
        <v>40</v>
      </c>
      <c r="F45" s="1" t="s">
        <v>25</v>
      </c>
      <c r="G45" s="1" t="s">
        <v>30</v>
      </c>
      <c r="H45" s="1">
        <v>256.10000000000002</v>
      </c>
      <c r="I45" s="1">
        <v>12</v>
      </c>
      <c r="J45" s="1">
        <v>20.92</v>
      </c>
      <c r="K45" s="1">
        <v>45.96</v>
      </c>
      <c r="L45" s="1">
        <v>8.9670000000000005</v>
      </c>
      <c r="M45" s="1">
        <v>5.1000000000000004E-3</v>
      </c>
      <c r="N45" s="1">
        <v>0.12770000000000001</v>
      </c>
      <c r="O45" s="1">
        <v>0.11210000000000001</v>
      </c>
      <c r="P45" s="1">
        <v>0.42020000000000002</v>
      </c>
      <c r="Q45" s="1">
        <v>0.10829999999999999</v>
      </c>
      <c r="R45" s="1">
        <v>0.1158</v>
      </c>
      <c r="S45" s="1">
        <v>4.87E-2</v>
      </c>
      <c r="T45" s="1">
        <v>0</v>
      </c>
      <c r="U45" s="1">
        <v>0</v>
      </c>
      <c r="W45" s="1">
        <v>-0.84860000000000002</v>
      </c>
      <c r="X45" t="str">
        <f t="shared" si="0"/>
        <v>NO</v>
      </c>
    </row>
    <row r="46" spans="1:24" x14ac:dyDescent="0.2">
      <c r="A46" s="1" t="s">
        <v>74</v>
      </c>
      <c r="B46" s="2" t="s">
        <v>172</v>
      </c>
      <c r="C46" s="1">
        <v>743</v>
      </c>
      <c r="D46" s="1" t="s">
        <v>75</v>
      </c>
      <c r="E46" s="1" t="s">
        <v>40</v>
      </c>
      <c r="F46" s="1" t="s">
        <v>76</v>
      </c>
      <c r="G46" s="1" t="s">
        <v>28</v>
      </c>
      <c r="H46" s="1">
        <v>4691.55</v>
      </c>
      <c r="I46" s="1">
        <v>1229</v>
      </c>
      <c r="J46" s="1">
        <v>3.82</v>
      </c>
      <c r="K46" s="1">
        <v>6.89</v>
      </c>
      <c r="L46" s="1">
        <v>1.014</v>
      </c>
      <c r="M46" s="1">
        <v>6.7999999999999996E-3</v>
      </c>
      <c r="N46" s="1">
        <v>0.37890000000000001</v>
      </c>
      <c r="O46" s="1">
        <v>0.2009</v>
      </c>
      <c r="P46" s="1">
        <v>0.2656</v>
      </c>
      <c r="Q46" s="1">
        <v>1.1000000000000001E-3</v>
      </c>
      <c r="R46" s="1">
        <v>5.7000000000000002E-3</v>
      </c>
      <c r="S46" s="1">
        <v>1.5E-3</v>
      </c>
      <c r="T46" s="1">
        <v>0.49259999999999998</v>
      </c>
      <c r="U46" s="1">
        <v>0.1308</v>
      </c>
      <c r="V46" s="1">
        <v>7.75</v>
      </c>
      <c r="W46" s="1">
        <v>-0.9758</v>
      </c>
      <c r="X46" t="str">
        <f t="shared" si="0"/>
        <v>YES</v>
      </c>
    </row>
    <row r="47" spans="1:24" x14ac:dyDescent="0.2">
      <c r="A47" s="1" t="s">
        <v>77</v>
      </c>
      <c r="B47" s="2" t="s">
        <v>172</v>
      </c>
      <c r="C47" s="1">
        <v>743</v>
      </c>
      <c r="D47" s="1" t="s">
        <v>75</v>
      </c>
      <c r="E47" s="1" t="s">
        <v>40</v>
      </c>
      <c r="F47" s="1" t="s">
        <v>76</v>
      </c>
      <c r="G47" s="1" t="s">
        <v>30</v>
      </c>
      <c r="H47" s="1">
        <v>4514.53</v>
      </c>
      <c r="I47" s="1">
        <v>292</v>
      </c>
      <c r="J47" s="1">
        <v>15.44</v>
      </c>
      <c r="K47" s="1">
        <v>18.95</v>
      </c>
      <c r="L47" s="1">
        <v>2.835</v>
      </c>
      <c r="M47" s="1">
        <v>6.7000000000000002E-3</v>
      </c>
      <c r="N47" s="1">
        <v>0.28039999999999998</v>
      </c>
      <c r="O47" s="1">
        <v>0.151</v>
      </c>
      <c r="P47" s="1">
        <v>0.18340000000000001</v>
      </c>
      <c r="Q47" s="1">
        <v>0</v>
      </c>
      <c r="R47" s="1">
        <v>0</v>
      </c>
      <c r="S47" s="1">
        <v>0</v>
      </c>
      <c r="T47" s="1">
        <v>0.5514</v>
      </c>
      <c r="U47" s="1">
        <v>0.1011</v>
      </c>
      <c r="V47" s="1">
        <v>28.04</v>
      </c>
      <c r="W47" s="1">
        <v>-0.95430000000000004</v>
      </c>
      <c r="X47" t="str">
        <f t="shared" si="0"/>
        <v>YES</v>
      </c>
    </row>
    <row r="48" spans="1:24" x14ac:dyDescent="0.2">
      <c r="A48" s="1" t="s">
        <v>78</v>
      </c>
      <c r="B48" s="2" t="s">
        <v>173</v>
      </c>
      <c r="C48" s="1">
        <v>743</v>
      </c>
      <c r="D48" s="1" t="s">
        <v>75</v>
      </c>
      <c r="E48" s="1" t="s">
        <v>40</v>
      </c>
      <c r="F48" s="1" t="s">
        <v>76</v>
      </c>
      <c r="G48" s="1" t="s">
        <v>30</v>
      </c>
      <c r="H48" s="1">
        <v>2689.75</v>
      </c>
      <c r="I48" s="1">
        <v>265</v>
      </c>
      <c r="J48" s="1">
        <v>10.14</v>
      </c>
      <c r="K48" s="1">
        <v>14.12</v>
      </c>
      <c r="L48" s="1">
        <v>2.1080000000000001</v>
      </c>
      <c r="M48" s="1">
        <v>6.7000000000000002E-3</v>
      </c>
      <c r="N48" s="1">
        <v>0.19670000000000001</v>
      </c>
      <c r="O48" s="1">
        <v>0.42520000000000002</v>
      </c>
      <c r="P48" s="1">
        <v>0.2077</v>
      </c>
      <c r="Q48" s="1">
        <v>4.8999999999999998E-3</v>
      </c>
      <c r="R48" s="1">
        <v>2.1000000000000001E-2</v>
      </c>
      <c r="S48" s="1">
        <v>4.4000000000000003E-3</v>
      </c>
      <c r="T48" s="1">
        <v>0.47460000000000002</v>
      </c>
      <c r="U48" s="1">
        <v>9.8599999999999993E-2</v>
      </c>
      <c r="V48" s="1">
        <v>21.39</v>
      </c>
      <c r="W48" s="1">
        <v>-0.91830000000000001</v>
      </c>
      <c r="X48" t="str">
        <f t="shared" si="0"/>
        <v>YES</v>
      </c>
    </row>
    <row r="49" spans="1:24" x14ac:dyDescent="0.2">
      <c r="A49" s="1" t="s">
        <v>79</v>
      </c>
      <c r="B49" s="2" t="s">
        <v>174</v>
      </c>
      <c r="C49" s="1">
        <v>743</v>
      </c>
      <c r="D49" s="1" t="s">
        <v>75</v>
      </c>
      <c r="E49" s="1" t="s">
        <v>40</v>
      </c>
      <c r="F49" s="1" t="s">
        <v>76</v>
      </c>
      <c r="G49" s="1" t="s">
        <v>26</v>
      </c>
      <c r="H49" s="1">
        <v>1751.7</v>
      </c>
      <c r="I49" s="1">
        <v>154</v>
      </c>
      <c r="J49" s="1">
        <v>11.4</v>
      </c>
      <c r="K49" s="1">
        <v>13.67</v>
      </c>
      <c r="L49" s="1">
        <v>2.37</v>
      </c>
      <c r="M49" s="1">
        <v>5.7999999999999996E-3</v>
      </c>
      <c r="N49" s="1">
        <v>0.3508</v>
      </c>
      <c r="O49" s="1">
        <v>0.30549999999999999</v>
      </c>
      <c r="P49" s="1">
        <v>0.2084</v>
      </c>
      <c r="Q49" s="1">
        <v>0</v>
      </c>
      <c r="R49" s="1">
        <v>0</v>
      </c>
      <c r="S49" s="1">
        <v>0</v>
      </c>
      <c r="T49" s="1">
        <v>0.46510000000000001</v>
      </c>
      <c r="U49" s="1">
        <v>9.69E-2</v>
      </c>
      <c r="V49" s="1">
        <v>24.46</v>
      </c>
      <c r="W49" s="1">
        <v>-1</v>
      </c>
      <c r="X49" t="str">
        <f t="shared" si="0"/>
        <v>YES</v>
      </c>
    </row>
    <row r="50" spans="1:24" x14ac:dyDescent="0.2">
      <c r="A50" s="1" t="s">
        <v>80</v>
      </c>
      <c r="B50" s="2" t="s">
        <v>172</v>
      </c>
      <c r="C50" s="1">
        <v>743</v>
      </c>
      <c r="D50" s="1" t="s">
        <v>75</v>
      </c>
      <c r="E50" s="1" t="s">
        <v>40</v>
      </c>
      <c r="F50" s="1" t="s">
        <v>76</v>
      </c>
      <c r="G50" s="1" t="s">
        <v>26</v>
      </c>
      <c r="H50" s="1">
        <v>1476.73</v>
      </c>
      <c r="I50" s="1">
        <v>117</v>
      </c>
      <c r="J50" s="1">
        <v>12.63</v>
      </c>
      <c r="K50" s="1">
        <v>14.29</v>
      </c>
      <c r="L50" s="1">
        <v>2.657</v>
      </c>
      <c r="M50" s="1">
        <v>5.4000000000000003E-3</v>
      </c>
      <c r="N50" s="1">
        <v>0.38379999999999997</v>
      </c>
      <c r="O50" s="1">
        <v>0.18559999999999999</v>
      </c>
      <c r="P50" s="1">
        <v>0.21049999999999999</v>
      </c>
      <c r="Q50" s="1">
        <v>0</v>
      </c>
      <c r="R50" s="1">
        <v>0</v>
      </c>
      <c r="S50" s="1">
        <v>0</v>
      </c>
      <c r="T50" s="1">
        <v>0.44829999999999998</v>
      </c>
      <c r="U50" s="1">
        <v>9.4399999999999998E-2</v>
      </c>
      <c r="V50" s="1">
        <v>28.15</v>
      </c>
      <c r="W50" s="1">
        <v>-1</v>
      </c>
      <c r="X50" t="str">
        <f t="shared" si="0"/>
        <v>YES</v>
      </c>
    </row>
    <row r="51" spans="1:24" x14ac:dyDescent="0.2">
      <c r="A51" s="1" t="s">
        <v>81</v>
      </c>
      <c r="B51" s="2" t="s">
        <v>175</v>
      </c>
      <c r="C51" s="1">
        <v>743</v>
      </c>
      <c r="D51" s="1" t="s">
        <v>75</v>
      </c>
      <c r="E51" s="1" t="s">
        <v>40</v>
      </c>
      <c r="F51" s="1" t="s">
        <v>76</v>
      </c>
      <c r="G51" s="1" t="s">
        <v>30</v>
      </c>
      <c r="H51" s="1">
        <v>1184.4100000000001</v>
      </c>
      <c r="I51" s="1">
        <v>86</v>
      </c>
      <c r="J51" s="1">
        <v>13.82</v>
      </c>
      <c r="K51" s="1">
        <v>22.34</v>
      </c>
      <c r="L51" s="1">
        <v>2.5129999999999999</v>
      </c>
      <c r="M51" s="1">
        <v>8.8999999999999999E-3</v>
      </c>
      <c r="N51" s="1">
        <v>0.27460000000000001</v>
      </c>
      <c r="O51" s="1">
        <v>0.2021</v>
      </c>
      <c r="P51" s="1">
        <v>0.1825</v>
      </c>
      <c r="Q51" s="1">
        <v>0</v>
      </c>
      <c r="R51" s="1">
        <v>0</v>
      </c>
      <c r="S51" s="1">
        <v>0</v>
      </c>
      <c r="T51" s="1">
        <v>0.50829999999999997</v>
      </c>
      <c r="U51" s="1">
        <v>9.2799999999999994E-2</v>
      </c>
      <c r="V51" s="1">
        <v>27.1</v>
      </c>
      <c r="W51" s="1">
        <v>-0.99960000000000004</v>
      </c>
      <c r="X51" t="str">
        <f t="shared" si="0"/>
        <v>YES</v>
      </c>
    </row>
    <row r="52" spans="1:24" x14ac:dyDescent="0.2">
      <c r="A52" s="1" t="s">
        <v>82</v>
      </c>
      <c r="B52" s="2" t="s">
        <v>176</v>
      </c>
      <c r="C52" s="1">
        <v>743</v>
      </c>
      <c r="D52" s="1" t="s">
        <v>75</v>
      </c>
      <c r="E52" s="1" t="s">
        <v>40</v>
      </c>
      <c r="F52" s="1" t="s">
        <v>76</v>
      </c>
      <c r="G52" s="1" t="s">
        <v>30</v>
      </c>
      <c r="H52" s="1">
        <v>505</v>
      </c>
      <c r="I52" s="1">
        <v>34</v>
      </c>
      <c r="J52" s="1">
        <v>14.85</v>
      </c>
      <c r="K52" s="1">
        <v>24.68</v>
      </c>
      <c r="L52" s="1">
        <v>5.7350000000000003</v>
      </c>
      <c r="M52" s="1">
        <v>4.3E-3</v>
      </c>
      <c r="N52" s="1">
        <v>0.16109999999999999</v>
      </c>
      <c r="O52" s="1">
        <v>0.2009</v>
      </c>
      <c r="P52" s="1">
        <v>0.3861</v>
      </c>
      <c r="Q52" s="1">
        <v>0</v>
      </c>
      <c r="R52" s="1">
        <v>0</v>
      </c>
      <c r="S52" s="1">
        <v>0</v>
      </c>
      <c r="T52" s="1">
        <v>0.38150000000000001</v>
      </c>
      <c r="U52" s="1">
        <v>0.14729999999999999</v>
      </c>
      <c r="V52" s="1">
        <v>38.93</v>
      </c>
      <c r="W52" s="1">
        <v>-1</v>
      </c>
      <c r="X52" t="str">
        <f t="shared" si="0"/>
        <v>NO</v>
      </c>
    </row>
    <row r="53" spans="1:24" x14ac:dyDescent="0.2">
      <c r="A53" s="1" t="s">
        <v>83</v>
      </c>
      <c r="B53" s="2" t="s">
        <v>177</v>
      </c>
      <c r="C53" s="1">
        <v>743</v>
      </c>
      <c r="D53" s="1" t="s">
        <v>75</v>
      </c>
      <c r="E53" s="1" t="s">
        <v>40</v>
      </c>
      <c r="F53" s="1" t="s">
        <v>76</v>
      </c>
      <c r="G53" s="1" t="s">
        <v>30</v>
      </c>
      <c r="H53" s="1">
        <v>479.26</v>
      </c>
      <c r="I53" s="1">
        <v>33</v>
      </c>
      <c r="J53" s="1">
        <v>14.68</v>
      </c>
      <c r="K53" s="1">
        <v>22.3</v>
      </c>
      <c r="L53" s="1">
        <v>5.8369999999999997</v>
      </c>
      <c r="M53" s="1">
        <v>3.8E-3</v>
      </c>
      <c r="N53" s="1">
        <v>0.22539999999999999</v>
      </c>
      <c r="O53" s="1">
        <v>0.43109999999999998</v>
      </c>
      <c r="P53" s="1">
        <v>0.40189999999999998</v>
      </c>
      <c r="Q53" s="1">
        <v>3.9399999999999998E-2</v>
      </c>
      <c r="R53" s="1">
        <v>4.2099999999999999E-2</v>
      </c>
      <c r="S53" s="1">
        <v>1.6899999999999998E-2</v>
      </c>
      <c r="T53" s="1">
        <v>0.42730000000000001</v>
      </c>
      <c r="U53" s="1">
        <v>0.17169999999999999</v>
      </c>
      <c r="V53" s="1">
        <v>33.99</v>
      </c>
      <c r="W53" s="1">
        <v>-0.81220000000000003</v>
      </c>
      <c r="X53" t="str">
        <f t="shared" si="0"/>
        <v>NO</v>
      </c>
    </row>
    <row r="54" spans="1:24" x14ac:dyDescent="0.2">
      <c r="A54" s="1" t="s">
        <v>84</v>
      </c>
      <c r="B54" s="2" t="s">
        <v>178</v>
      </c>
      <c r="C54" s="1">
        <v>743</v>
      </c>
      <c r="D54" s="1" t="s">
        <v>75</v>
      </c>
      <c r="E54" s="1" t="s">
        <v>40</v>
      </c>
      <c r="F54" s="1" t="s">
        <v>76</v>
      </c>
      <c r="G54" s="1" t="s">
        <v>30</v>
      </c>
      <c r="H54" s="1">
        <v>434.12</v>
      </c>
      <c r="I54" s="1">
        <v>24</v>
      </c>
      <c r="J54" s="1">
        <v>17.73</v>
      </c>
      <c r="K54" s="1">
        <v>33.19</v>
      </c>
      <c r="L54" s="1">
        <v>8.6859999999999999</v>
      </c>
      <c r="M54" s="1">
        <v>3.8E-3</v>
      </c>
      <c r="N54" s="1">
        <v>0.16420000000000001</v>
      </c>
      <c r="O54" s="1">
        <v>0.23469999999999999</v>
      </c>
      <c r="P54" s="1">
        <v>0.48020000000000002</v>
      </c>
      <c r="Q54" s="1">
        <v>0</v>
      </c>
      <c r="R54" s="1">
        <v>0</v>
      </c>
      <c r="S54" s="1">
        <v>0</v>
      </c>
      <c r="T54" s="1">
        <v>0.49349999999999999</v>
      </c>
      <c r="U54" s="1">
        <v>0.23699999999999999</v>
      </c>
      <c r="V54" s="1">
        <v>36.65</v>
      </c>
      <c r="W54" s="1">
        <v>-1</v>
      </c>
      <c r="X54" t="str">
        <f t="shared" si="0"/>
        <v>NO</v>
      </c>
    </row>
    <row r="55" spans="1:24" x14ac:dyDescent="0.2">
      <c r="A55" s="1" t="s">
        <v>85</v>
      </c>
      <c r="B55" s="2" t="s">
        <v>179</v>
      </c>
      <c r="C55" s="1">
        <v>743</v>
      </c>
      <c r="D55" s="1" t="s">
        <v>75</v>
      </c>
      <c r="E55" s="1" t="s">
        <v>40</v>
      </c>
      <c r="F55" s="1" t="s">
        <v>76</v>
      </c>
      <c r="G55" s="1" t="s">
        <v>30</v>
      </c>
      <c r="H55" s="1">
        <v>405.33</v>
      </c>
      <c r="I55" s="1">
        <v>26</v>
      </c>
      <c r="J55" s="1">
        <v>15.69</v>
      </c>
      <c r="K55" s="1">
        <v>22.2</v>
      </c>
      <c r="L55" s="1">
        <v>6.0819999999999999</v>
      </c>
      <c r="M55" s="1">
        <v>3.5999999999999999E-3</v>
      </c>
      <c r="N55" s="1">
        <v>0.24429999999999999</v>
      </c>
      <c r="O55" s="1">
        <v>0.1726</v>
      </c>
      <c r="P55" s="1">
        <v>0.39019999999999999</v>
      </c>
      <c r="Q55" s="1">
        <v>0</v>
      </c>
      <c r="R55" s="1">
        <v>0</v>
      </c>
      <c r="S55" s="1">
        <v>0</v>
      </c>
      <c r="T55" s="1">
        <v>0.53149999999999997</v>
      </c>
      <c r="U55" s="1">
        <v>0.2074</v>
      </c>
      <c r="V55" s="1">
        <v>29.33</v>
      </c>
      <c r="W55" s="1">
        <v>-1</v>
      </c>
      <c r="X55" t="str">
        <f t="shared" si="0"/>
        <v>YES</v>
      </c>
    </row>
    <row r="56" spans="1:24" x14ac:dyDescent="0.2">
      <c r="A56" s="1" t="s">
        <v>86</v>
      </c>
      <c r="B56" s="2" t="s">
        <v>180</v>
      </c>
      <c r="C56" s="1">
        <v>743</v>
      </c>
      <c r="D56" s="1" t="s">
        <v>75</v>
      </c>
      <c r="E56" s="1" t="s">
        <v>40</v>
      </c>
      <c r="F56" s="1" t="s">
        <v>76</v>
      </c>
      <c r="G56" s="1" t="s">
        <v>30</v>
      </c>
      <c r="H56" s="1">
        <v>258.36</v>
      </c>
      <c r="I56" s="1">
        <v>5</v>
      </c>
      <c r="J56" s="1">
        <v>47.49</v>
      </c>
      <c r="K56" s="1">
        <v>24.61</v>
      </c>
      <c r="L56" s="1">
        <v>4.0960000000000001</v>
      </c>
      <c r="M56" s="1">
        <v>6.0000000000000001E-3</v>
      </c>
      <c r="N56" s="1">
        <v>0.36020000000000002</v>
      </c>
      <c r="O56" s="1">
        <v>4.7500000000000001E-2</v>
      </c>
      <c r="P56" s="1">
        <v>7.9299999999999995E-2</v>
      </c>
      <c r="Q56" s="1">
        <v>0</v>
      </c>
      <c r="R56" s="1">
        <v>0.27800000000000002</v>
      </c>
      <c r="S56" s="1">
        <v>2.1999999999999999E-2</v>
      </c>
      <c r="T56" s="1">
        <v>0.56399999999999995</v>
      </c>
      <c r="U56" s="1">
        <v>4.4699999999999997E-2</v>
      </c>
      <c r="V56" s="1">
        <v>91.62</v>
      </c>
      <c r="W56" s="1">
        <v>-1</v>
      </c>
      <c r="X56" t="str">
        <f t="shared" si="0"/>
        <v>NO</v>
      </c>
    </row>
    <row r="57" spans="1:24" x14ac:dyDescent="0.2">
      <c r="A57" s="1" t="s">
        <v>87</v>
      </c>
      <c r="B57" s="2" t="s">
        <v>181</v>
      </c>
      <c r="C57" s="1">
        <v>743</v>
      </c>
      <c r="D57" s="1" t="s">
        <v>75</v>
      </c>
      <c r="E57" s="1" t="s">
        <v>40</v>
      </c>
      <c r="F57" s="1" t="s">
        <v>76</v>
      </c>
      <c r="G57" s="1" t="s">
        <v>30</v>
      </c>
      <c r="H57" s="1">
        <v>211.02</v>
      </c>
      <c r="I57" s="1">
        <v>10</v>
      </c>
      <c r="J57" s="1">
        <v>22.17</v>
      </c>
      <c r="K57" s="1">
        <v>20.32</v>
      </c>
      <c r="L57" s="1">
        <v>5.9109999999999996</v>
      </c>
      <c r="M57" s="1">
        <v>3.3999999999999998E-3</v>
      </c>
      <c r="N57" s="1">
        <v>0.26569999999999999</v>
      </c>
      <c r="O57" s="1">
        <v>0.23760000000000001</v>
      </c>
      <c r="P57" s="1">
        <v>0.28010000000000002</v>
      </c>
      <c r="Q57" s="1">
        <v>0</v>
      </c>
      <c r="R57" s="1">
        <v>0</v>
      </c>
      <c r="S57" s="1">
        <v>0</v>
      </c>
      <c r="T57" s="1">
        <v>0.47939999999999999</v>
      </c>
      <c r="U57" s="1">
        <v>0.1343</v>
      </c>
      <c r="V57" s="1">
        <v>44.02</v>
      </c>
      <c r="W57" s="1">
        <v>-0.88160000000000005</v>
      </c>
      <c r="X57" t="str">
        <f t="shared" si="0"/>
        <v>NO</v>
      </c>
    </row>
    <row r="58" spans="1:24" x14ac:dyDescent="0.2">
      <c r="A58" s="1" t="s">
        <v>88</v>
      </c>
      <c r="B58" s="2" t="s">
        <v>180</v>
      </c>
      <c r="C58" s="1">
        <v>743</v>
      </c>
      <c r="D58" s="1" t="s">
        <v>75</v>
      </c>
      <c r="E58" s="1" t="s">
        <v>40</v>
      </c>
      <c r="F58" s="1" t="s">
        <v>76</v>
      </c>
      <c r="G58" s="1" t="s">
        <v>30</v>
      </c>
      <c r="H58" s="1">
        <v>206.27</v>
      </c>
      <c r="I58" s="1">
        <v>8</v>
      </c>
      <c r="J58" s="1">
        <v>25.28</v>
      </c>
      <c r="K58" s="1">
        <v>24.84</v>
      </c>
      <c r="L58" s="1">
        <v>6.1909999999999998</v>
      </c>
      <c r="M58" s="1">
        <v>4.0000000000000001E-3</v>
      </c>
      <c r="N58" s="1">
        <v>0.1895</v>
      </c>
      <c r="O58" s="1">
        <v>0.23669999999999999</v>
      </c>
      <c r="P58" s="1">
        <v>0.24010000000000001</v>
      </c>
      <c r="Q58" s="1">
        <v>0</v>
      </c>
      <c r="R58" s="1">
        <v>0</v>
      </c>
      <c r="S58" s="1">
        <v>0</v>
      </c>
      <c r="T58" s="1">
        <v>0.42299999999999999</v>
      </c>
      <c r="U58" s="1">
        <v>0.1016</v>
      </c>
      <c r="V58" s="1">
        <v>60.96</v>
      </c>
      <c r="W58" s="1">
        <v>-1</v>
      </c>
      <c r="X58" t="str">
        <f t="shared" si="0"/>
        <v>NO</v>
      </c>
    </row>
    <row r="59" spans="1:24" x14ac:dyDescent="0.2">
      <c r="A59" s="1" t="s">
        <v>89</v>
      </c>
      <c r="B59" s="2" t="s">
        <v>180</v>
      </c>
      <c r="C59" s="1">
        <v>743</v>
      </c>
      <c r="D59" s="1" t="s">
        <v>75</v>
      </c>
      <c r="E59" s="1" t="s">
        <v>40</v>
      </c>
      <c r="F59" s="1" t="s">
        <v>76</v>
      </c>
      <c r="G59" s="1" t="s">
        <v>30</v>
      </c>
      <c r="H59" s="1">
        <v>156.44</v>
      </c>
      <c r="I59" s="1">
        <v>8</v>
      </c>
      <c r="J59" s="1">
        <v>19.170000000000002</v>
      </c>
      <c r="K59" s="1">
        <v>21.07</v>
      </c>
      <c r="L59" s="1">
        <v>6.9189999999999996</v>
      </c>
      <c r="M59" s="1">
        <v>3.0000000000000001E-3</v>
      </c>
      <c r="N59" s="1">
        <v>0.41660000000000003</v>
      </c>
      <c r="O59" s="1">
        <v>0.1328</v>
      </c>
      <c r="P59" s="1">
        <v>0.3538</v>
      </c>
      <c r="Q59" s="1">
        <v>0</v>
      </c>
      <c r="R59" s="1">
        <v>0</v>
      </c>
      <c r="S59" s="1">
        <v>0</v>
      </c>
      <c r="T59" s="1">
        <v>0.77549999999999997</v>
      </c>
      <c r="U59" s="1">
        <v>0.27439999999999998</v>
      </c>
      <c r="V59" s="1">
        <v>25.22</v>
      </c>
      <c r="W59" s="1">
        <v>-1</v>
      </c>
      <c r="X59" t="str">
        <f t="shared" si="0"/>
        <v>YES</v>
      </c>
    </row>
    <row r="60" spans="1:24" x14ac:dyDescent="0.2">
      <c r="A60" s="1" t="s">
        <v>90</v>
      </c>
      <c r="B60" s="2" t="s">
        <v>175</v>
      </c>
      <c r="C60" s="1">
        <v>743</v>
      </c>
      <c r="D60" s="1" t="s">
        <v>75</v>
      </c>
      <c r="E60" s="1" t="s">
        <v>40</v>
      </c>
      <c r="F60" s="1" t="s">
        <v>76</v>
      </c>
      <c r="G60" s="1" t="s">
        <v>30</v>
      </c>
      <c r="H60" s="1">
        <v>128.63</v>
      </c>
      <c r="I60" s="1">
        <v>3</v>
      </c>
      <c r="J60" s="1">
        <v>47.29</v>
      </c>
      <c r="K60" s="1">
        <v>26.27</v>
      </c>
      <c r="L60" s="1">
        <v>5.6890000000000001</v>
      </c>
      <c r="M60" s="1">
        <v>4.5999999999999999E-3</v>
      </c>
      <c r="N60" s="1">
        <v>0.1641</v>
      </c>
      <c r="O60" s="1">
        <v>0.26319999999999999</v>
      </c>
      <c r="P60" s="1">
        <v>0.13270000000000001</v>
      </c>
      <c r="Q60" s="1">
        <v>0</v>
      </c>
      <c r="R60" s="1">
        <v>0</v>
      </c>
      <c r="S60" s="1">
        <v>0</v>
      </c>
      <c r="T60" s="1">
        <v>0.47</v>
      </c>
      <c r="U60" s="1">
        <v>6.2399999999999997E-2</v>
      </c>
      <c r="V60" s="1">
        <v>91.22</v>
      </c>
      <c r="W60" s="1">
        <v>-1</v>
      </c>
      <c r="X60" t="str">
        <f t="shared" si="0"/>
        <v>NO</v>
      </c>
    </row>
    <row r="61" spans="1:24" x14ac:dyDescent="0.2">
      <c r="A61" s="1" t="s">
        <v>91</v>
      </c>
      <c r="B61" s="2" t="s">
        <v>182</v>
      </c>
      <c r="C61" s="1">
        <v>743</v>
      </c>
      <c r="D61" s="1" t="s">
        <v>75</v>
      </c>
      <c r="E61" s="1" t="s">
        <v>40</v>
      </c>
      <c r="F61" s="1" t="s">
        <v>76</v>
      </c>
      <c r="G61" s="1" t="s">
        <v>30</v>
      </c>
      <c r="H61" s="1">
        <v>81.459999999999994</v>
      </c>
      <c r="I61" s="1">
        <v>3</v>
      </c>
      <c r="J61" s="1">
        <v>29.95</v>
      </c>
      <c r="K61" s="1">
        <v>21.47</v>
      </c>
      <c r="L61" s="1">
        <v>5.266</v>
      </c>
      <c r="M61" s="1">
        <v>4.1000000000000003E-3</v>
      </c>
      <c r="N61" s="1">
        <v>0.44319999999999998</v>
      </c>
      <c r="O61" s="1">
        <v>6.1699999999999998E-2</v>
      </c>
      <c r="P61" s="1">
        <v>0.19389999999999999</v>
      </c>
      <c r="Q61" s="1">
        <v>0</v>
      </c>
      <c r="R61" s="1">
        <v>0</v>
      </c>
      <c r="S61" s="1">
        <v>0</v>
      </c>
      <c r="T61" s="1">
        <v>0.94</v>
      </c>
      <c r="U61" s="1">
        <v>0.18229999999999999</v>
      </c>
      <c r="V61" s="1">
        <v>28.89</v>
      </c>
      <c r="W61" s="1">
        <v>-1</v>
      </c>
      <c r="X61" t="str">
        <f t="shared" si="0"/>
        <v>YES</v>
      </c>
    </row>
    <row r="62" spans="1:24" x14ac:dyDescent="0.2">
      <c r="A62" s="1" t="s">
        <v>92</v>
      </c>
      <c r="B62" s="2" t="s">
        <v>138</v>
      </c>
      <c r="C62" s="1">
        <v>869</v>
      </c>
      <c r="D62" s="1" t="s">
        <v>55</v>
      </c>
      <c r="E62" s="1" t="s">
        <v>24</v>
      </c>
      <c r="F62" s="1" t="s">
        <v>25</v>
      </c>
      <c r="G62" s="1" t="s">
        <v>30</v>
      </c>
      <c r="H62" s="1">
        <v>2987.75</v>
      </c>
      <c r="I62" s="1">
        <v>182</v>
      </c>
      <c r="J62" s="1">
        <v>16.39</v>
      </c>
      <c r="K62" s="1">
        <v>25.37</v>
      </c>
      <c r="L62" s="1">
        <v>4.2549999999999999</v>
      </c>
      <c r="M62" s="1">
        <v>6.0000000000000001E-3</v>
      </c>
      <c r="N62" s="1">
        <v>0</v>
      </c>
      <c r="P62" s="1">
        <v>0.25919999999999999</v>
      </c>
      <c r="Q62" s="1">
        <v>0.15709999999999999</v>
      </c>
      <c r="R62" s="1">
        <v>0.4582</v>
      </c>
      <c r="S62" s="1">
        <v>0.1188</v>
      </c>
      <c r="T62" s="1">
        <v>0</v>
      </c>
      <c r="U62" s="1">
        <v>0</v>
      </c>
      <c r="W62" s="1">
        <v>0.1052</v>
      </c>
      <c r="X62" t="str">
        <f t="shared" si="0"/>
        <v>YES</v>
      </c>
    </row>
    <row r="63" spans="1:24" x14ac:dyDescent="0.2">
      <c r="A63" s="1" t="s">
        <v>93</v>
      </c>
      <c r="B63" s="2" t="s">
        <v>183</v>
      </c>
      <c r="C63" s="1">
        <v>869</v>
      </c>
      <c r="D63" s="1" t="s">
        <v>55</v>
      </c>
      <c r="E63" s="1" t="s">
        <v>24</v>
      </c>
      <c r="F63" s="1" t="s">
        <v>25</v>
      </c>
      <c r="G63" s="1" t="s">
        <v>30</v>
      </c>
      <c r="H63" s="1">
        <v>1508.58</v>
      </c>
      <c r="I63" s="1">
        <v>110</v>
      </c>
      <c r="J63" s="1">
        <v>13.69</v>
      </c>
      <c r="K63" s="1">
        <v>33.700000000000003</v>
      </c>
      <c r="L63" s="1">
        <v>5.8419999999999996</v>
      </c>
      <c r="M63" s="1">
        <v>5.7999999999999996E-3</v>
      </c>
      <c r="N63" s="1">
        <v>0</v>
      </c>
      <c r="P63" s="1">
        <v>0.42599999999999999</v>
      </c>
      <c r="Q63" s="1">
        <v>0.18909999999999999</v>
      </c>
      <c r="R63" s="1">
        <v>0.49280000000000002</v>
      </c>
      <c r="S63" s="1">
        <v>0.2099</v>
      </c>
      <c r="T63" s="1">
        <v>0</v>
      </c>
      <c r="U63" s="1">
        <v>0</v>
      </c>
      <c r="W63" s="1">
        <v>1.06E-2</v>
      </c>
      <c r="X63" t="str">
        <f t="shared" si="0"/>
        <v>YES</v>
      </c>
    </row>
    <row r="64" spans="1:24" x14ac:dyDescent="0.2">
      <c r="A64" s="1" t="s">
        <v>94</v>
      </c>
      <c r="B64" s="2" t="s">
        <v>184</v>
      </c>
      <c r="C64" s="1">
        <v>869</v>
      </c>
      <c r="D64" s="1" t="s">
        <v>55</v>
      </c>
      <c r="E64" s="1" t="s">
        <v>24</v>
      </c>
      <c r="F64" s="1" t="s">
        <v>25</v>
      </c>
      <c r="G64" s="1" t="s">
        <v>30</v>
      </c>
      <c r="H64" s="1">
        <v>578.46</v>
      </c>
      <c r="I64" s="1">
        <v>39</v>
      </c>
      <c r="J64" s="1">
        <v>14.67</v>
      </c>
      <c r="K64" s="1">
        <v>8.11</v>
      </c>
      <c r="L64" s="1">
        <v>2.4180000000000001</v>
      </c>
      <c r="M64" s="1">
        <v>3.3999999999999998E-3</v>
      </c>
      <c r="N64" s="1">
        <v>0</v>
      </c>
      <c r="P64" s="1">
        <v>0.16309999999999999</v>
      </c>
      <c r="Q64" s="1">
        <v>3.3300000000000003E-2</v>
      </c>
      <c r="R64" s="1">
        <v>0.42770000000000002</v>
      </c>
      <c r="S64" s="1">
        <v>6.9699999999999998E-2</v>
      </c>
      <c r="T64" s="1">
        <v>3.6200000000000003E-2</v>
      </c>
      <c r="U64" s="1">
        <v>5.8999999999999999E-3</v>
      </c>
      <c r="V64" s="1">
        <v>410.26</v>
      </c>
      <c r="W64" s="1">
        <v>0.1186</v>
      </c>
      <c r="X64" t="str">
        <f t="shared" si="0"/>
        <v>YES</v>
      </c>
    </row>
    <row r="65" spans="1:24" x14ac:dyDescent="0.2">
      <c r="A65" s="1" t="s">
        <v>95</v>
      </c>
      <c r="B65" s="2" t="s">
        <v>185</v>
      </c>
      <c r="C65" s="1">
        <v>869</v>
      </c>
      <c r="D65" s="1" t="s">
        <v>55</v>
      </c>
      <c r="E65" s="1" t="s">
        <v>24</v>
      </c>
      <c r="F65" s="1" t="s">
        <v>25</v>
      </c>
      <c r="G65" s="1" t="s">
        <v>30</v>
      </c>
      <c r="H65" s="1">
        <v>569.51</v>
      </c>
      <c r="I65" s="1">
        <v>11</v>
      </c>
      <c r="J65" s="1">
        <v>52.34</v>
      </c>
      <c r="K65" s="1">
        <v>15.24</v>
      </c>
      <c r="L65" s="1">
        <v>2.4670000000000001</v>
      </c>
      <c r="M65" s="1">
        <v>6.1999999999999998E-3</v>
      </c>
      <c r="N65" s="1">
        <v>0</v>
      </c>
      <c r="P65" s="1">
        <v>4.7600000000000003E-2</v>
      </c>
      <c r="Q65" s="1">
        <v>0.35449999999999998</v>
      </c>
      <c r="R65" s="1">
        <v>0.50549999999999995</v>
      </c>
      <c r="S65" s="1">
        <v>2.41E-2</v>
      </c>
      <c r="T65" s="1">
        <v>0</v>
      </c>
      <c r="U65" s="1">
        <v>0</v>
      </c>
      <c r="W65" s="1">
        <v>-0.15609999999999999</v>
      </c>
      <c r="X65" t="str">
        <f t="shared" si="0"/>
        <v>NO</v>
      </c>
    </row>
    <row r="66" spans="1:24" x14ac:dyDescent="0.2">
      <c r="A66" s="1" t="s">
        <v>96</v>
      </c>
      <c r="B66" s="2" t="s">
        <v>186</v>
      </c>
      <c r="C66" s="1">
        <v>869</v>
      </c>
      <c r="D66" s="1" t="s">
        <v>55</v>
      </c>
      <c r="E66" s="1" t="s">
        <v>24</v>
      </c>
      <c r="F66" s="1" t="s">
        <v>25</v>
      </c>
      <c r="G66" s="1" t="s">
        <v>30</v>
      </c>
      <c r="H66" s="1">
        <v>442.89</v>
      </c>
      <c r="I66" s="1">
        <v>31</v>
      </c>
      <c r="J66" s="1">
        <v>14.16</v>
      </c>
      <c r="K66" s="1">
        <v>26.95</v>
      </c>
      <c r="L66" s="1">
        <v>4.6520000000000001</v>
      </c>
      <c r="M66" s="1">
        <v>5.7999999999999996E-3</v>
      </c>
      <c r="N66" s="1">
        <v>0</v>
      </c>
      <c r="P66" s="1">
        <v>0.3256</v>
      </c>
      <c r="Q66" s="1">
        <v>0.1258</v>
      </c>
      <c r="R66" s="1">
        <v>0.35870000000000002</v>
      </c>
      <c r="S66" s="1">
        <v>0.1168</v>
      </c>
      <c r="T66" s="1">
        <v>0</v>
      </c>
      <c r="U66" s="1">
        <v>0</v>
      </c>
      <c r="W66" s="1">
        <v>-0.19750000000000001</v>
      </c>
      <c r="X66" t="str">
        <f t="shared" si="0"/>
        <v>NO</v>
      </c>
    </row>
    <row r="67" spans="1:24" x14ac:dyDescent="0.2">
      <c r="A67" s="1" t="s">
        <v>97</v>
      </c>
      <c r="B67" s="2" t="s">
        <v>187</v>
      </c>
      <c r="C67" s="1">
        <v>869</v>
      </c>
      <c r="D67" s="1" t="s">
        <v>55</v>
      </c>
      <c r="E67" s="1" t="s">
        <v>24</v>
      </c>
      <c r="F67" s="1" t="s">
        <v>25</v>
      </c>
      <c r="G67" s="1" t="s">
        <v>30</v>
      </c>
      <c r="H67" s="1">
        <v>113.68</v>
      </c>
      <c r="I67" s="1">
        <v>3</v>
      </c>
      <c r="J67" s="1">
        <v>41.79</v>
      </c>
      <c r="K67" s="1">
        <v>30.08</v>
      </c>
      <c r="L67" s="1">
        <v>10.614000000000001</v>
      </c>
      <c r="M67" s="1">
        <v>2.8E-3</v>
      </c>
      <c r="N67" s="1">
        <v>0</v>
      </c>
      <c r="P67" s="1">
        <v>0.28010000000000002</v>
      </c>
      <c r="Q67" s="1">
        <v>0.86670000000000003</v>
      </c>
      <c r="R67" s="1">
        <v>0.92669999999999997</v>
      </c>
      <c r="S67" s="1">
        <v>0.2596</v>
      </c>
      <c r="T67" s="1">
        <v>0</v>
      </c>
      <c r="U67" s="1">
        <v>0</v>
      </c>
      <c r="W67" s="1">
        <v>0.6744</v>
      </c>
      <c r="X67" t="str">
        <f t="shared" ref="X67:X101" si="1">IF(OR(AND(F67="MN", W67&gt;0), AND(F67="WMN", V67&lt;&gt;"", V67&lt;30)), "YES", "NO")</f>
        <v>YES</v>
      </c>
    </row>
    <row r="68" spans="1:24" x14ac:dyDescent="0.2">
      <c r="A68" s="1" t="s">
        <v>98</v>
      </c>
      <c r="B68" s="2" t="s">
        <v>188</v>
      </c>
      <c r="C68" s="1">
        <v>409</v>
      </c>
      <c r="D68" s="1" t="s">
        <v>99</v>
      </c>
      <c r="E68" s="1" t="s">
        <v>40</v>
      </c>
      <c r="F68" s="1" t="s">
        <v>76</v>
      </c>
      <c r="G68" s="1" t="s">
        <v>30</v>
      </c>
      <c r="H68" s="1">
        <v>10888.19</v>
      </c>
      <c r="I68" s="1">
        <v>913</v>
      </c>
      <c r="J68" s="1">
        <v>11.93</v>
      </c>
      <c r="K68" s="1">
        <v>23.53</v>
      </c>
      <c r="L68" s="1">
        <v>2.6890000000000001</v>
      </c>
      <c r="M68" s="1">
        <v>8.8000000000000005E-3</v>
      </c>
      <c r="N68" s="1">
        <v>0.35680000000000001</v>
      </c>
      <c r="O68" s="1">
        <v>0.21149999999999999</v>
      </c>
      <c r="P68" s="1">
        <v>0.22550000000000001</v>
      </c>
      <c r="Q68" s="1">
        <v>0</v>
      </c>
      <c r="R68" s="1">
        <v>1.2200000000000001E-2</v>
      </c>
      <c r="S68" s="1">
        <v>2.7000000000000001E-3</v>
      </c>
      <c r="T68" s="1">
        <v>0.5081</v>
      </c>
      <c r="U68" s="1">
        <v>0.11459999999999999</v>
      </c>
      <c r="V68" s="1">
        <v>23.47</v>
      </c>
      <c r="W68" s="1">
        <v>-0.96340000000000003</v>
      </c>
      <c r="X68" t="str">
        <f t="shared" si="1"/>
        <v>YES</v>
      </c>
    </row>
    <row r="69" spans="1:24" x14ac:dyDescent="0.2">
      <c r="A69" s="1" t="s">
        <v>100</v>
      </c>
      <c r="B69" s="2" t="s">
        <v>189</v>
      </c>
      <c r="C69" s="1">
        <v>409</v>
      </c>
      <c r="D69" s="1" t="s">
        <v>99</v>
      </c>
      <c r="E69" s="1" t="s">
        <v>40</v>
      </c>
      <c r="F69" s="1" t="s">
        <v>76</v>
      </c>
      <c r="G69" s="1" t="s">
        <v>26</v>
      </c>
      <c r="H69" s="1">
        <v>8256.92</v>
      </c>
      <c r="I69" s="1">
        <v>653</v>
      </c>
      <c r="J69" s="1">
        <v>12.65</v>
      </c>
      <c r="K69" s="1">
        <v>12.22</v>
      </c>
      <c r="L69" s="1">
        <v>1.992</v>
      </c>
      <c r="M69" s="1">
        <v>6.1000000000000004E-3</v>
      </c>
      <c r="N69" s="1">
        <v>0.46089999999999998</v>
      </c>
      <c r="O69" s="1">
        <v>9.3899999999999997E-2</v>
      </c>
      <c r="P69" s="1">
        <v>0.1575</v>
      </c>
      <c r="Q69" s="1">
        <v>0</v>
      </c>
      <c r="R69" s="1">
        <v>6.4000000000000003E-3</v>
      </c>
      <c r="S69" s="1">
        <v>1E-3</v>
      </c>
      <c r="T69" s="1">
        <v>0.52210000000000001</v>
      </c>
      <c r="U69" s="1">
        <v>8.2199999999999995E-2</v>
      </c>
      <c r="V69" s="1">
        <v>24.22</v>
      </c>
      <c r="W69" s="1">
        <v>-0.99550000000000005</v>
      </c>
      <c r="X69" t="str">
        <f t="shared" si="1"/>
        <v>YES</v>
      </c>
    </row>
    <row r="70" spans="1:24" x14ac:dyDescent="0.2">
      <c r="A70" s="1" t="s">
        <v>101</v>
      </c>
      <c r="B70" s="2" t="s">
        <v>181</v>
      </c>
      <c r="C70" s="1">
        <v>409</v>
      </c>
      <c r="D70" s="1" t="s">
        <v>99</v>
      </c>
      <c r="E70" s="1" t="s">
        <v>40</v>
      </c>
      <c r="F70" s="1" t="s">
        <v>76</v>
      </c>
      <c r="G70" s="1" t="s">
        <v>28</v>
      </c>
      <c r="H70" s="1">
        <v>6861.38</v>
      </c>
      <c r="I70" s="1">
        <v>1794</v>
      </c>
      <c r="J70" s="1">
        <v>3.82</v>
      </c>
      <c r="K70" s="1">
        <v>7.7</v>
      </c>
      <c r="L70" s="1">
        <v>1.6759999999999999</v>
      </c>
      <c r="M70" s="1">
        <v>4.5999999999999999E-3</v>
      </c>
      <c r="N70" s="1">
        <v>0.23949999999999999</v>
      </c>
      <c r="O70" s="1">
        <v>0.26390000000000002</v>
      </c>
      <c r="P70" s="1">
        <v>0.43819999999999998</v>
      </c>
      <c r="Q70" s="1">
        <v>1.4E-3</v>
      </c>
      <c r="R70" s="1">
        <v>1.01E-2</v>
      </c>
      <c r="S70" s="1">
        <v>4.4000000000000003E-3</v>
      </c>
      <c r="T70" s="1">
        <v>0.4788</v>
      </c>
      <c r="U70" s="1">
        <v>0.20979999999999999</v>
      </c>
      <c r="V70" s="1">
        <v>7.99</v>
      </c>
      <c r="W70" s="1">
        <v>-0.91049999999999998</v>
      </c>
      <c r="X70" t="str">
        <f t="shared" si="1"/>
        <v>YES</v>
      </c>
    </row>
    <row r="71" spans="1:24" x14ac:dyDescent="0.2">
      <c r="A71" s="1" t="s">
        <v>102</v>
      </c>
      <c r="B71" s="2" t="s">
        <v>190</v>
      </c>
      <c r="C71" s="1">
        <v>409</v>
      </c>
      <c r="D71" s="1" t="s">
        <v>99</v>
      </c>
      <c r="E71" s="1" t="s">
        <v>40</v>
      </c>
      <c r="F71" s="1" t="s">
        <v>76</v>
      </c>
      <c r="G71" s="1" t="s">
        <v>28</v>
      </c>
      <c r="H71" s="1">
        <v>6749.26</v>
      </c>
      <c r="I71" s="1">
        <v>1500</v>
      </c>
      <c r="J71" s="1">
        <v>4.5</v>
      </c>
      <c r="K71" s="1">
        <v>9.76</v>
      </c>
      <c r="L71" s="1">
        <v>1.8520000000000001</v>
      </c>
      <c r="M71" s="1">
        <v>5.3E-3</v>
      </c>
      <c r="N71" s="1">
        <v>0.19350000000000001</v>
      </c>
      <c r="O71" s="1">
        <v>0.39069999999999999</v>
      </c>
      <c r="P71" s="1">
        <v>0.41170000000000001</v>
      </c>
      <c r="Q71" s="1">
        <v>2.5999999999999999E-3</v>
      </c>
      <c r="R71" s="1">
        <v>9.2999999999999992E-3</v>
      </c>
      <c r="S71" s="1">
        <v>3.8E-3</v>
      </c>
      <c r="T71" s="1">
        <v>0.47020000000000001</v>
      </c>
      <c r="U71" s="1">
        <v>0.19359999999999999</v>
      </c>
      <c r="V71" s="1">
        <v>9.57</v>
      </c>
      <c r="W71" s="1">
        <v>-0.9325</v>
      </c>
      <c r="X71" t="str">
        <f t="shared" si="1"/>
        <v>YES</v>
      </c>
    </row>
    <row r="72" spans="1:24" x14ac:dyDescent="0.2">
      <c r="A72" s="1" t="s">
        <v>103</v>
      </c>
      <c r="B72" s="2" t="s">
        <v>191</v>
      </c>
      <c r="C72" s="1">
        <v>409</v>
      </c>
      <c r="D72" s="1" t="s">
        <v>99</v>
      </c>
      <c r="E72" s="1" t="s">
        <v>40</v>
      </c>
      <c r="F72" s="1" t="s">
        <v>76</v>
      </c>
      <c r="G72" s="1" t="s">
        <v>30</v>
      </c>
      <c r="H72" s="1">
        <v>4780.4799999999996</v>
      </c>
      <c r="I72" s="1">
        <v>296</v>
      </c>
      <c r="J72" s="1">
        <v>16.12</v>
      </c>
      <c r="K72" s="1">
        <v>25.66</v>
      </c>
      <c r="L72" s="1">
        <v>5.556</v>
      </c>
      <c r="M72" s="1">
        <v>4.5999999999999999E-3</v>
      </c>
      <c r="N72" s="1">
        <v>0.34770000000000001</v>
      </c>
      <c r="O72" s="1">
        <v>0.1817</v>
      </c>
      <c r="P72" s="1">
        <v>0.34399999999999997</v>
      </c>
      <c r="Q72" s="1">
        <v>4.4000000000000003E-3</v>
      </c>
      <c r="R72" s="1">
        <v>1.41E-2</v>
      </c>
      <c r="S72" s="1">
        <v>4.7999999999999996E-3</v>
      </c>
      <c r="T72" s="1">
        <v>0.503</v>
      </c>
      <c r="U72" s="1">
        <v>0.1731</v>
      </c>
      <c r="V72" s="1">
        <v>32.11</v>
      </c>
      <c r="W72" s="1">
        <v>-0.98</v>
      </c>
      <c r="X72" t="str">
        <f t="shared" si="1"/>
        <v>NO</v>
      </c>
    </row>
    <row r="73" spans="1:24" x14ac:dyDescent="0.2">
      <c r="A73" s="1" t="s">
        <v>104</v>
      </c>
      <c r="B73" s="2" t="s">
        <v>192</v>
      </c>
      <c r="C73" s="1">
        <v>409</v>
      </c>
      <c r="D73" s="1" t="s">
        <v>99</v>
      </c>
      <c r="E73" s="1" t="s">
        <v>40</v>
      </c>
      <c r="F73" s="1" t="s">
        <v>76</v>
      </c>
      <c r="G73" s="1" t="s">
        <v>30</v>
      </c>
      <c r="H73" s="1">
        <v>3851.38</v>
      </c>
      <c r="I73" s="1">
        <v>175</v>
      </c>
      <c r="J73" s="1">
        <v>21.95</v>
      </c>
      <c r="K73" s="1">
        <v>22.9</v>
      </c>
      <c r="L73" s="1">
        <v>3.1120000000000001</v>
      </c>
      <c r="M73" s="1">
        <v>7.4000000000000003E-3</v>
      </c>
      <c r="N73" s="1">
        <v>0.20300000000000001</v>
      </c>
      <c r="O73" s="1">
        <v>0.44669999999999999</v>
      </c>
      <c r="P73" s="1">
        <v>0.1414</v>
      </c>
      <c r="Q73" s="1">
        <v>0</v>
      </c>
      <c r="R73" s="1">
        <v>1.5900000000000001E-2</v>
      </c>
      <c r="S73" s="1">
        <v>2.2000000000000001E-3</v>
      </c>
      <c r="T73" s="1">
        <v>0.53180000000000005</v>
      </c>
      <c r="U73" s="1">
        <v>7.5200000000000003E-2</v>
      </c>
      <c r="V73" s="1">
        <v>41.39</v>
      </c>
      <c r="W73" s="1">
        <v>-0.94750000000000001</v>
      </c>
      <c r="X73" t="str">
        <f t="shared" si="1"/>
        <v>NO</v>
      </c>
    </row>
    <row r="74" spans="1:24" x14ac:dyDescent="0.2">
      <c r="A74" s="1" t="s">
        <v>105</v>
      </c>
      <c r="B74" s="2" t="s">
        <v>181</v>
      </c>
      <c r="C74" s="1">
        <v>409</v>
      </c>
      <c r="D74" s="1" t="s">
        <v>99</v>
      </c>
      <c r="E74" s="1" t="s">
        <v>40</v>
      </c>
      <c r="F74" s="1" t="s">
        <v>76</v>
      </c>
      <c r="G74" s="1" t="s">
        <v>30</v>
      </c>
      <c r="H74" s="1">
        <v>3644.79</v>
      </c>
      <c r="I74" s="1">
        <v>282</v>
      </c>
      <c r="J74" s="1">
        <v>12.95</v>
      </c>
      <c r="K74" s="1">
        <v>21.25</v>
      </c>
      <c r="L74" s="1">
        <v>3.81</v>
      </c>
      <c r="M74" s="1">
        <v>5.5999999999999999E-3</v>
      </c>
      <c r="N74" s="1">
        <v>0.24759999999999999</v>
      </c>
      <c r="O74" s="1">
        <v>0.30659999999999998</v>
      </c>
      <c r="P74" s="1">
        <v>0.29470000000000002</v>
      </c>
      <c r="Q74" s="1">
        <v>0</v>
      </c>
      <c r="R74" s="1">
        <v>0</v>
      </c>
      <c r="S74" s="1">
        <v>0</v>
      </c>
      <c r="T74" s="1">
        <v>0.44700000000000001</v>
      </c>
      <c r="U74" s="1">
        <v>0.1318</v>
      </c>
      <c r="V74" s="1">
        <v>28.91</v>
      </c>
      <c r="W74" s="1">
        <v>-0.95599999999999996</v>
      </c>
      <c r="X74" t="str">
        <f t="shared" si="1"/>
        <v>YES</v>
      </c>
    </row>
    <row r="75" spans="1:24" x14ac:dyDescent="0.2">
      <c r="A75" s="1" t="s">
        <v>106</v>
      </c>
      <c r="B75" s="2" t="s">
        <v>193</v>
      </c>
      <c r="C75" s="1">
        <v>409</v>
      </c>
      <c r="D75" s="1" t="s">
        <v>99</v>
      </c>
      <c r="E75" s="1" t="s">
        <v>40</v>
      </c>
      <c r="F75" s="1" t="s">
        <v>76</v>
      </c>
      <c r="G75" s="1" t="s">
        <v>30</v>
      </c>
      <c r="H75" s="1">
        <v>3386.38</v>
      </c>
      <c r="I75" s="1">
        <v>310</v>
      </c>
      <c r="J75" s="1">
        <v>10.92</v>
      </c>
      <c r="K75" s="1">
        <v>20.81</v>
      </c>
      <c r="L75" s="1">
        <v>3.8879999999999999</v>
      </c>
      <c r="M75" s="1">
        <v>5.4000000000000003E-3</v>
      </c>
      <c r="N75" s="1">
        <v>0.18390000000000001</v>
      </c>
      <c r="O75" s="1">
        <v>0.36280000000000001</v>
      </c>
      <c r="P75" s="1">
        <v>0.35589999999999999</v>
      </c>
      <c r="Q75" s="1">
        <v>0</v>
      </c>
      <c r="R75" s="1">
        <v>0</v>
      </c>
      <c r="S75" s="1">
        <v>0</v>
      </c>
      <c r="T75" s="1">
        <v>0.3866</v>
      </c>
      <c r="U75" s="1">
        <v>0.1376</v>
      </c>
      <c r="V75" s="1">
        <v>28.26</v>
      </c>
      <c r="W75" s="1">
        <v>-0.97350000000000003</v>
      </c>
      <c r="X75" t="str">
        <f t="shared" si="1"/>
        <v>YES</v>
      </c>
    </row>
    <row r="76" spans="1:24" x14ac:dyDescent="0.2">
      <c r="A76" s="1" t="s">
        <v>107</v>
      </c>
      <c r="B76" s="2" t="s">
        <v>190</v>
      </c>
      <c r="C76" s="1">
        <v>409</v>
      </c>
      <c r="D76" s="1" t="s">
        <v>99</v>
      </c>
      <c r="E76" s="1" t="s">
        <v>40</v>
      </c>
      <c r="F76" s="1" t="s">
        <v>76</v>
      </c>
      <c r="G76" s="1" t="s">
        <v>28</v>
      </c>
      <c r="H76" s="1">
        <v>2615.4</v>
      </c>
      <c r="I76" s="1">
        <v>555</v>
      </c>
      <c r="J76" s="1">
        <v>4.71</v>
      </c>
      <c r="K76" s="1">
        <v>9.5299999999999994</v>
      </c>
      <c r="L76" s="1">
        <v>1.5189999999999999</v>
      </c>
      <c r="M76" s="1">
        <v>6.3E-3</v>
      </c>
      <c r="N76" s="1">
        <v>0.25219999999999998</v>
      </c>
      <c r="O76" s="1">
        <v>0.29830000000000001</v>
      </c>
      <c r="P76" s="1">
        <v>0.32229999999999998</v>
      </c>
      <c r="Q76" s="1">
        <v>9.4000000000000004E-3</v>
      </c>
      <c r="R76" s="1">
        <v>3.0099999999999998E-2</v>
      </c>
      <c r="S76" s="1">
        <v>9.7000000000000003E-3</v>
      </c>
      <c r="T76" s="1">
        <v>0.48220000000000002</v>
      </c>
      <c r="U76" s="1">
        <v>0.15540000000000001</v>
      </c>
      <c r="V76" s="1">
        <v>9.77</v>
      </c>
      <c r="W76" s="1">
        <v>-0.93830000000000002</v>
      </c>
      <c r="X76" t="str">
        <f t="shared" si="1"/>
        <v>YES</v>
      </c>
    </row>
    <row r="77" spans="1:24" x14ac:dyDescent="0.2">
      <c r="A77" s="1" t="s">
        <v>108</v>
      </c>
      <c r="B77" s="2" t="s">
        <v>194</v>
      </c>
      <c r="C77" s="1">
        <v>409</v>
      </c>
      <c r="D77" s="1" t="s">
        <v>99</v>
      </c>
      <c r="E77" s="1" t="s">
        <v>24</v>
      </c>
      <c r="F77" s="1" t="s">
        <v>76</v>
      </c>
      <c r="G77" s="1" t="s">
        <v>30</v>
      </c>
      <c r="H77" s="1">
        <v>4979.75</v>
      </c>
      <c r="I77" s="1">
        <v>456</v>
      </c>
      <c r="J77" s="1">
        <v>10.93</v>
      </c>
      <c r="K77" s="1">
        <v>15.67</v>
      </c>
      <c r="L77" s="1">
        <v>2.0640000000000001</v>
      </c>
      <c r="M77" s="1">
        <v>7.6E-3</v>
      </c>
      <c r="N77" s="1">
        <v>0</v>
      </c>
      <c r="O77" s="1">
        <v>1</v>
      </c>
      <c r="P77" s="1">
        <v>0.189</v>
      </c>
      <c r="Q77" s="1">
        <v>2.8999999999999998E-3</v>
      </c>
      <c r="R77" s="1">
        <v>6.1000000000000004E-3</v>
      </c>
      <c r="S77" s="1">
        <v>1.1999999999999999E-3</v>
      </c>
      <c r="T77" s="1">
        <v>0.38900000000000001</v>
      </c>
      <c r="U77" s="1">
        <v>7.3499999999999996E-2</v>
      </c>
      <c r="V77" s="1">
        <v>28.07</v>
      </c>
      <c r="W77" s="1">
        <v>-0.98340000000000005</v>
      </c>
      <c r="X77" t="str">
        <f t="shared" si="1"/>
        <v>YES</v>
      </c>
    </row>
    <row r="78" spans="1:24" x14ac:dyDescent="0.2">
      <c r="A78" s="1" t="s">
        <v>109</v>
      </c>
      <c r="B78" s="2" t="s">
        <v>194</v>
      </c>
      <c r="C78" s="1">
        <v>409</v>
      </c>
      <c r="D78" s="1" t="s">
        <v>99</v>
      </c>
      <c r="E78" s="1" t="s">
        <v>24</v>
      </c>
      <c r="F78" s="1" t="s">
        <v>76</v>
      </c>
      <c r="G78" s="1" t="s">
        <v>26</v>
      </c>
      <c r="H78" s="1">
        <v>3012.69</v>
      </c>
      <c r="I78" s="1">
        <v>189</v>
      </c>
      <c r="J78" s="1">
        <v>15.94</v>
      </c>
      <c r="K78" s="1">
        <v>12.73</v>
      </c>
      <c r="L78" s="1">
        <v>1.6950000000000001</v>
      </c>
      <c r="M78" s="1">
        <v>7.4999999999999997E-3</v>
      </c>
      <c r="N78" s="1">
        <v>0</v>
      </c>
      <c r="O78" s="1">
        <v>0</v>
      </c>
      <c r="P78" s="1">
        <v>0.10630000000000001</v>
      </c>
      <c r="Q78" s="1">
        <v>0</v>
      </c>
      <c r="R78" s="1">
        <v>2.2100000000000002E-2</v>
      </c>
      <c r="S78" s="1">
        <v>2.3E-3</v>
      </c>
      <c r="T78" s="1">
        <v>0.50129999999999997</v>
      </c>
      <c r="U78" s="1">
        <v>5.33E-2</v>
      </c>
      <c r="V78" s="1">
        <v>31.8</v>
      </c>
      <c r="W78" s="1">
        <v>-0.98329999999999995</v>
      </c>
      <c r="X78" t="str">
        <f t="shared" si="1"/>
        <v>NO</v>
      </c>
    </row>
    <row r="79" spans="1:24" x14ac:dyDescent="0.2">
      <c r="A79" s="1" t="s">
        <v>110</v>
      </c>
      <c r="B79" s="2" t="s">
        <v>195</v>
      </c>
      <c r="C79" s="1">
        <v>409</v>
      </c>
      <c r="D79" s="1" t="s">
        <v>99</v>
      </c>
      <c r="E79" s="1" t="s">
        <v>24</v>
      </c>
      <c r="F79" s="1" t="s">
        <v>76</v>
      </c>
      <c r="G79" s="1" t="s">
        <v>30</v>
      </c>
      <c r="H79" s="1">
        <v>417.04</v>
      </c>
      <c r="I79" s="1">
        <v>26</v>
      </c>
      <c r="J79" s="1">
        <v>16.14</v>
      </c>
      <c r="K79" s="1">
        <v>21.09</v>
      </c>
      <c r="L79" s="1">
        <v>3.9380000000000002</v>
      </c>
      <c r="M79" s="1">
        <v>5.4000000000000003E-3</v>
      </c>
      <c r="N79" s="1">
        <v>0</v>
      </c>
      <c r="P79" s="1">
        <v>0.2455</v>
      </c>
      <c r="Q79" s="1">
        <v>0</v>
      </c>
      <c r="R79" s="1">
        <v>0</v>
      </c>
      <c r="S79" s="1">
        <v>0</v>
      </c>
      <c r="T79" s="1">
        <v>0.42299999999999999</v>
      </c>
      <c r="U79" s="1">
        <v>0.1038</v>
      </c>
      <c r="V79" s="1">
        <v>37.92</v>
      </c>
      <c r="W79" s="1">
        <v>-1</v>
      </c>
      <c r="X79" t="str">
        <f t="shared" si="1"/>
        <v>NO</v>
      </c>
    </row>
    <row r="80" spans="1:24" x14ac:dyDescent="0.2">
      <c r="A80" s="1" t="s">
        <v>111</v>
      </c>
      <c r="B80" s="2" t="s">
        <v>196</v>
      </c>
      <c r="C80" s="1">
        <v>409</v>
      </c>
      <c r="D80" s="1" t="s">
        <v>99</v>
      </c>
      <c r="E80" s="1" t="s">
        <v>24</v>
      </c>
      <c r="F80" s="1" t="s">
        <v>76</v>
      </c>
      <c r="G80" s="1" t="s">
        <v>30</v>
      </c>
      <c r="H80" s="1">
        <v>385.71</v>
      </c>
      <c r="I80" s="1">
        <v>12</v>
      </c>
      <c r="J80" s="1">
        <v>31.51</v>
      </c>
      <c r="K80" s="1">
        <v>24.05</v>
      </c>
      <c r="L80" s="1">
        <v>4.9870000000000001</v>
      </c>
      <c r="M80" s="1">
        <v>4.7999999999999996E-3</v>
      </c>
      <c r="N80" s="1">
        <v>0</v>
      </c>
      <c r="P80" s="1">
        <v>0.15509999999999999</v>
      </c>
      <c r="Q80" s="1">
        <v>0</v>
      </c>
      <c r="R80" s="1">
        <v>0</v>
      </c>
      <c r="S80" s="1">
        <v>0</v>
      </c>
      <c r="T80" s="1">
        <v>0.63449999999999995</v>
      </c>
      <c r="U80" s="1">
        <v>9.8400000000000001E-2</v>
      </c>
      <c r="V80" s="1">
        <v>50.66</v>
      </c>
      <c r="W80" s="1">
        <v>-1</v>
      </c>
      <c r="X80" t="str">
        <f t="shared" si="1"/>
        <v>NO</v>
      </c>
    </row>
    <row r="81" spans="1:24" x14ac:dyDescent="0.2">
      <c r="A81" s="1" t="s">
        <v>112</v>
      </c>
      <c r="B81" s="2" t="s">
        <v>197</v>
      </c>
      <c r="C81" s="1">
        <v>409</v>
      </c>
      <c r="D81" s="1" t="s">
        <v>99</v>
      </c>
      <c r="E81" s="1" t="s">
        <v>24</v>
      </c>
      <c r="F81" s="1" t="s">
        <v>76</v>
      </c>
      <c r="G81" s="1" t="s">
        <v>30</v>
      </c>
      <c r="H81" s="1">
        <v>371.35</v>
      </c>
      <c r="I81" s="1">
        <v>19</v>
      </c>
      <c r="J81" s="1">
        <v>19.5</v>
      </c>
      <c r="K81" s="1">
        <v>13.85</v>
      </c>
      <c r="L81" s="1">
        <v>3.2170000000000001</v>
      </c>
      <c r="M81" s="1">
        <v>4.3E-3</v>
      </c>
      <c r="N81" s="1">
        <v>0</v>
      </c>
      <c r="P81" s="1">
        <v>0.1646</v>
      </c>
      <c r="Q81" s="1">
        <v>0</v>
      </c>
      <c r="R81" s="1">
        <v>7.3200000000000001E-2</v>
      </c>
      <c r="S81" s="1">
        <v>1.2E-2</v>
      </c>
      <c r="T81" s="1">
        <v>0.59370000000000001</v>
      </c>
      <c r="U81" s="1">
        <v>9.7699999999999995E-2</v>
      </c>
      <c r="V81" s="1">
        <v>32.92</v>
      </c>
      <c r="W81" s="1">
        <v>-1</v>
      </c>
      <c r="X81" t="str">
        <f t="shared" si="1"/>
        <v>NO</v>
      </c>
    </row>
    <row r="82" spans="1:24" x14ac:dyDescent="0.2">
      <c r="A82" s="1" t="s">
        <v>113</v>
      </c>
      <c r="B82" s="2" t="s">
        <v>198</v>
      </c>
      <c r="C82" s="1">
        <v>409</v>
      </c>
      <c r="D82" s="1" t="s">
        <v>99</v>
      </c>
      <c r="E82" s="1" t="s">
        <v>24</v>
      </c>
      <c r="F82" s="1" t="s">
        <v>76</v>
      </c>
      <c r="G82" s="1" t="s">
        <v>30</v>
      </c>
      <c r="H82" s="1">
        <v>370.67</v>
      </c>
      <c r="I82" s="1">
        <v>19</v>
      </c>
      <c r="J82" s="1">
        <v>19.47</v>
      </c>
      <c r="K82" s="1">
        <v>23.77</v>
      </c>
      <c r="L82" s="1">
        <v>2.7570000000000001</v>
      </c>
      <c r="M82" s="1">
        <v>8.6E-3</v>
      </c>
      <c r="N82" s="1">
        <v>0</v>
      </c>
      <c r="P82" s="1">
        <v>0.14130000000000001</v>
      </c>
      <c r="Q82" s="1">
        <v>0</v>
      </c>
      <c r="R82" s="1">
        <v>0</v>
      </c>
      <c r="S82" s="1">
        <v>0</v>
      </c>
      <c r="T82" s="1">
        <v>0.31169999999999998</v>
      </c>
      <c r="U82" s="1">
        <v>4.3999999999999997E-2</v>
      </c>
      <c r="V82" s="1">
        <v>62.59</v>
      </c>
      <c r="W82" s="1">
        <v>-1</v>
      </c>
      <c r="X82" t="str">
        <f t="shared" si="1"/>
        <v>NO</v>
      </c>
    </row>
    <row r="83" spans="1:24" x14ac:dyDescent="0.2">
      <c r="A83" s="1" t="s">
        <v>114</v>
      </c>
      <c r="B83" s="2" t="s">
        <v>199</v>
      </c>
      <c r="C83" s="1">
        <v>409</v>
      </c>
      <c r="D83" s="1" t="s">
        <v>99</v>
      </c>
      <c r="E83" s="1" t="s">
        <v>24</v>
      </c>
      <c r="F83" s="1" t="s">
        <v>76</v>
      </c>
      <c r="G83" s="1" t="s">
        <v>30</v>
      </c>
      <c r="H83" s="1">
        <v>317.73</v>
      </c>
      <c r="I83" s="1">
        <v>10</v>
      </c>
      <c r="J83" s="1">
        <v>33.369999999999997</v>
      </c>
      <c r="K83" s="1">
        <v>21.12</v>
      </c>
      <c r="L83" s="1">
        <v>4.2380000000000004</v>
      </c>
      <c r="M83" s="1">
        <v>5.0000000000000001E-3</v>
      </c>
      <c r="N83" s="1">
        <v>0</v>
      </c>
      <c r="P83" s="1">
        <v>0.13339999999999999</v>
      </c>
      <c r="Q83" s="1">
        <v>0</v>
      </c>
      <c r="R83" s="1">
        <v>0</v>
      </c>
      <c r="S83" s="1">
        <v>0</v>
      </c>
      <c r="T83" s="1">
        <v>0.33839999999999998</v>
      </c>
      <c r="U83" s="1">
        <v>4.5100000000000001E-2</v>
      </c>
      <c r="V83" s="1">
        <v>93.89</v>
      </c>
      <c r="W83" s="1">
        <v>-0.78569999999999995</v>
      </c>
      <c r="X83" t="str">
        <f t="shared" si="1"/>
        <v>NO</v>
      </c>
    </row>
    <row r="84" spans="1:24" x14ac:dyDescent="0.2">
      <c r="A84" s="1" t="s">
        <v>115</v>
      </c>
      <c r="B84" s="2" t="s">
        <v>194</v>
      </c>
      <c r="C84" s="1">
        <v>409</v>
      </c>
      <c r="D84" s="1" t="s">
        <v>99</v>
      </c>
      <c r="E84" s="1" t="s">
        <v>24</v>
      </c>
      <c r="F84" s="1" t="s">
        <v>76</v>
      </c>
      <c r="G84" s="1" t="s">
        <v>28</v>
      </c>
      <c r="H84" s="1">
        <v>274.18</v>
      </c>
      <c r="I84" s="1">
        <v>56</v>
      </c>
      <c r="J84" s="1">
        <v>4.92</v>
      </c>
      <c r="K84" s="1">
        <v>6.08</v>
      </c>
      <c r="L84" s="1">
        <v>0.76800000000000002</v>
      </c>
      <c r="M84" s="1">
        <v>7.9000000000000008E-3</v>
      </c>
      <c r="N84" s="1">
        <v>0</v>
      </c>
      <c r="P84" s="1">
        <v>0.15690000000000001</v>
      </c>
      <c r="Q84" s="1">
        <v>0</v>
      </c>
      <c r="R84" s="1">
        <v>0</v>
      </c>
      <c r="S84" s="1">
        <v>0</v>
      </c>
      <c r="T84" s="1">
        <v>0.4582</v>
      </c>
      <c r="U84" s="1">
        <v>7.1900000000000006E-2</v>
      </c>
      <c r="V84" s="1">
        <v>10.68</v>
      </c>
      <c r="W84" s="1">
        <v>-1</v>
      </c>
      <c r="X84" t="str">
        <f t="shared" si="1"/>
        <v>YES</v>
      </c>
    </row>
    <row r="85" spans="1:24" x14ac:dyDescent="0.2">
      <c r="A85" s="1" t="s">
        <v>116</v>
      </c>
      <c r="B85" s="2" t="s">
        <v>196</v>
      </c>
      <c r="C85" s="1">
        <v>409</v>
      </c>
      <c r="D85" s="1" t="s">
        <v>99</v>
      </c>
      <c r="E85" s="1" t="s">
        <v>24</v>
      </c>
      <c r="F85" s="1" t="s">
        <v>76</v>
      </c>
      <c r="G85" s="1" t="s">
        <v>30</v>
      </c>
      <c r="H85" s="1">
        <v>254.39</v>
      </c>
      <c r="I85" s="1">
        <v>7</v>
      </c>
      <c r="J85" s="1">
        <v>37.409999999999997</v>
      </c>
      <c r="K85" s="1">
        <v>15.98</v>
      </c>
      <c r="L85" s="1">
        <v>3.887</v>
      </c>
      <c r="M85" s="1">
        <v>4.1000000000000003E-3</v>
      </c>
      <c r="N85" s="1">
        <v>0</v>
      </c>
      <c r="P85" s="1">
        <v>0.107</v>
      </c>
      <c r="Q85" s="1">
        <v>0</v>
      </c>
      <c r="R85" s="1">
        <v>0</v>
      </c>
      <c r="S85" s="1">
        <v>0</v>
      </c>
      <c r="T85" s="1">
        <v>0.40289999999999998</v>
      </c>
      <c r="U85" s="1">
        <v>4.3099999999999999E-2</v>
      </c>
      <c r="V85" s="1">
        <v>90.21</v>
      </c>
      <c r="W85" s="1">
        <v>-1</v>
      </c>
      <c r="X85" t="str">
        <f t="shared" si="1"/>
        <v>NO</v>
      </c>
    </row>
    <row r="86" spans="1:24" x14ac:dyDescent="0.2">
      <c r="A86" s="1" t="s">
        <v>117</v>
      </c>
      <c r="B86" s="2" t="s">
        <v>200</v>
      </c>
      <c r="C86" s="1">
        <v>409</v>
      </c>
      <c r="D86" s="1" t="s">
        <v>99</v>
      </c>
      <c r="E86" s="1" t="s">
        <v>24</v>
      </c>
      <c r="F86" s="1" t="s">
        <v>76</v>
      </c>
      <c r="G86" s="1" t="s">
        <v>30</v>
      </c>
      <c r="H86" s="1">
        <v>238.01</v>
      </c>
      <c r="I86" s="1">
        <v>7</v>
      </c>
      <c r="J86" s="1">
        <v>35</v>
      </c>
      <c r="K86" s="1">
        <v>31.15</v>
      </c>
      <c r="L86" s="1">
        <v>4.4450000000000003</v>
      </c>
      <c r="M86" s="1">
        <v>7.0000000000000001E-3</v>
      </c>
      <c r="N86" s="1">
        <v>0</v>
      </c>
      <c r="P86" s="1">
        <v>0.13070000000000001</v>
      </c>
      <c r="Q86" s="1">
        <v>0</v>
      </c>
      <c r="R86" s="1">
        <v>0</v>
      </c>
      <c r="S86" s="1">
        <v>0</v>
      </c>
      <c r="T86" s="1">
        <v>0.80569999999999997</v>
      </c>
      <c r="U86" s="1">
        <v>0.1053</v>
      </c>
      <c r="V86" s="1">
        <v>42.2</v>
      </c>
      <c r="W86" s="1">
        <v>-1</v>
      </c>
      <c r="X86" t="str">
        <f t="shared" si="1"/>
        <v>NO</v>
      </c>
    </row>
    <row r="87" spans="1:24" x14ac:dyDescent="0.2">
      <c r="A87" s="1" t="s">
        <v>118</v>
      </c>
      <c r="B87" s="2" t="s">
        <v>195</v>
      </c>
      <c r="C87" s="1">
        <v>409</v>
      </c>
      <c r="D87" s="1" t="s">
        <v>99</v>
      </c>
      <c r="E87" s="1" t="s">
        <v>24</v>
      </c>
      <c r="F87" s="1" t="s">
        <v>76</v>
      </c>
      <c r="G87" s="1" t="s">
        <v>30</v>
      </c>
      <c r="H87" s="1">
        <v>209.64</v>
      </c>
      <c r="I87" s="1">
        <v>12</v>
      </c>
      <c r="J87" s="1">
        <v>17.13</v>
      </c>
      <c r="K87" s="1">
        <v>11.16</v>
      </c>
      <c r="L87" s="1">
        <v>2.1480000000000001</v>
      </c>
      <c r="M87" s="1">
        <v>5.1999999999999998E-3</v>
      </c>
      <c r="N87" s="1">
        <v>0</v>
      </c>
      <c r="P87" s="1">
        <v>0.123</v>
      </c>
      <c r="Q87" s="1">
        <v>0</v>
      </c>
      <c r="R87" s="1">
        <v>0</v>
      </c>
      <c r="S87" s="1">
        <v>0</v>
      </c>
      <c r="T87" s="1">
        <v>0.58750000000000002</v>
      </c>
      <c r="U87" s="1">
        <v>7.22E-2</v>
      </c>
      <c r="V87" s="1">
        <v>29.74</v>
      </c>
      <c r="W87" s="1">
        <v>-1</v>
      </c>
      <c r="X87" t="str">
        <f t="shared" si="1"/>
        <v>YES</v>
      </c>
    </row>
    <row r="88" spans="1:24" x14ac:dyDescent="0.2">
      <c r="A88" s="1" t="s">
        <v>119</v>
      </c>
      <c r="B88" s="2" t="s">
        <v>200</v>
      </c>
      <c r="C88" s="1">
        <v>409</v>
      </c>
      <c r="D88" s="1" t="s">
        <v>99</v>
      </c>
      <c r="E88" s="1" t="s">
        <v>24</v>
      </c>
      <c r="F88" s="1" t="s">
        <v>76</v>
      </c>
      <c r="G88" s="1" t="s">
        <v>30</v>
      </c>
      <c r="H88" s="1">
        <v>201.56</v>
      </c>
      <c r="I88" s="1">
        <v>3</v>
      </c>
      <c r="J88" s="1">
        <v>74.099999999999994</v>
      </c>
      <c r="K88" s="1">
        <v>36.79</v>
      </c>
      <c r="L88" s="1">
        <v>4.9820000000000002</v>
      </c>
      <c r="M88" s="1">
        <v>7.4000000000000003E-3</v>
      </c>
      <c r="N88" s="1">
        <v>0</v>
      </c>
      <c r="P88" s="1">
        <v>7.4099999999999999E-2</v>
      </c>
      <c r="Q88" s="1">
        <v>0</v>
      </c>
      <c r="R88" s="1">
        <v>0</v>
      </c>
      <c r="S88" s="1">
        <v>0</v>
      </c>
      <c r="T88" s="1">
        <v>0.94</v>
      </c>
      <c r="U88" s="1">
        <v>6.9699999999999998E-2</v>
      </c>
      <c r="V88" s="1">
        <v>71.48</v>
      </c>
      <c r="W88" s="1">
        <v>-1</v>
      </c>
      <c r="X88" t="str">
        <f t="shared" si="1"/>
        <v>NO</v>
      </c>
    </row>
    <row r="89" spans="1:24" x14ac:dyDescent="0.2">
      <c r="A89" s="1" t="s">
        <v>120</v>
      </c>
      <c r="B89" s="2" t="s">
        <v>201</v>
      </c>
      <c r="C89" s="1">
        <v>409</v>
      </c>
      <c r="D89" s="1" t="s">
        <v>99</v>
      </c>
      <c r="E89" s="1" t="s">
        <v>24</v>
      </c>
      <c r="F89" s="1" t="s">
        <v>76</v>
      </c>
      <c r="G89" s="1" t="s">
        <v>30</v>
      </c>
      <c r="H89" s="1">
        <v>187.38</v>
      </c>
      <c r="I89" s="1">
        <v>3</v>
      </c>
      <c r="J89" s="1">
        <v>68.89</v>
      </c>
      <c r="K89" s="1">
        <v>22</v>
      </c>
      <c r="L89" s="1">
        <v>4.9210000000000003</v>
      </c>
      <c r="M89" s="1">
        <v>4.4999999999999997E-3</v>
      </c>
      <c r="N89" s="1">
        <v>0</v>
      </c>
      <c r="P89" s="1">
        <v>7.8799999999999995E-2</v>
      </c>
      <c r="Q89" s="1">
        <v>0</v>
      </c>
      <c r="R89" s="1">
        <v>0</v>
      </c>
      <c r="S89" s="1">
        <v>0</v>
      </c>
      <c r="T89" s="1">
        <v>0.47</v>
      </c>
      <c r="U89" s="1">
        <v>3.6999999999999998E-2</v>
      </c>
      <c r="V89" s="1">
        <v>132.88999999999999</v>
      </c>
      <c r="W89" s="1">
        <v>-1</v>
      </c>
      <c r="X89" t="str">
        <f t="shared" si="1"/>
        <v>NO</v>
      </c>
    </row>
    <row r="90" spans="1:24" x14ac:dyDescent="0.2">
      <c r="A90" s="1" t="s">
        <v>121</v>
      </c>
      <c r="B90" s="2" t="s">
        <v>200</v>
      </c>
      <c r="C90" s="1">
        <v>409</v>
      </c>
      <c r="D90" s="1" t="s">
        <v>99</v>
      </c>
      <c r="E90" s="1" t="s">
        <v>24</v>
      </c>
      <c r="F90" s="1" t="s">
        <v>76</v>
      </c>
      <c r="G90" s="1" t="s">
        <v>30</v>
      </c>
      <c r="H90" s="1">
        <v>181.51</v>
      </c>
      <c r="I90" s="1">
        <v>7</v>
      </c>
      <c r="J90" s="1">
        <v>26.69</v>
      </c>
      <c r="K90" s="1">
        <v>33.14</v>
      </c>
      <c r="L90" s="1">
        <v>5.649</v>
      </c>
      <c r="M90" s="1">
        <v>5.8999999999999999E-3</v>
      </c>
      <c r="N90" s="1">
        <v>0</v>
      </c>
      <c r="P90" s="1">
        <v>0.21790000000000001</v>
      </c>
      <c r="Q90" s="1">
        <v>0</v>
      </c>
      <c r="R90" s="1">
        <v>0</v>
      </c>
      <c r="S90" s="1">
        <v>0</v>
      </c>
      <c r="T90" s="1">
        <v>0.36259999999999998</v>
      </c>
      <c r="U90" s="1">
        <v>7.9000000000000001E-2</v>
      </c>
      <c r="V90" s="1">
        <v>71.52</v>
      </c>
      <c r="W90" s="1">
        <v>-1</v>
      </c>
      <c r="X90" t="str">
        <f t="shared" si="1"/>
        <v>NO</v>
      </c>
    </row>
    <row r="91" spans="1:24" x14ac:dyDescent="0.2">
      <c r="A91" s="1" t="s">
        <v>122</v>
      </c>
      <c r="B91" s="2" t="s">
        <v>202</v>
      </c>
      <c r="C91" s="1">
        <v>409</v>
      </c>
      <c r="D91" s="1" t="s">
        <v>99</v>
      </c>
      <c r="E91" s="1" t="s">
        <v>24</v>
      </c>
      <c r="F91" s="1" t="s">
        <v>76</v>
      </c>
      <c r="G91" s="1" t="s">
        <v>30</v>
      </c>
      <c r="H91" s="1">
        <v>161.58000000000001</v>
      </c>
      <c r="I91" s="1">
        <v>4</v>
      </c>
      <c r="J91" s="1">
        <v>39.6</v>
      </c>
      <c r="K91" s="1">
        <v>25.38</v>
      </c>
      <c r="L91" s="1">
        <v>6.1719999999999997</v>
      </c>
      <c r="M91" s="1">
        <v>4.1000000000000003E-3</v>
      </c>
      <c r="N91" s="1">
        <v>0</v>
      </c>
      <c r="P91" s="1">
        <v>0.15279999999999999</v>
      </c>
      <c r="Q91" s="1">
        <v>0</v>
      </c>
      <c r="R91" s="1">
        <v>0</v>
      </c>
      <c r="S91" s="1">
        <v>0</v>
      </c>
      <c r="T91" s="1">
        <v>0.70499999999999996</v>
      </c>
      <c r="U91" s="1">
        <v>0.1077</v>
      </c>
      <c r="V91" s="1">
        <v>57.3</v>
      </c>
      <c r="W91" s="1">
        <v>-1</v>
      </c>
      <c r="X91" t="str">
        <f t="shared" si="1"/>
        <v>NO</v>
      </c>
    </row>
    <row r="92" spans="1:24" x14ac:dyDescent="0.2">
      <c r="A92" s="1" t="s">
        <v>123</v>
      </c>
      <c r="B92" s="2" t="s">
        <v>197</v>
      </c>
      <c r="C92" s="1">
        <v>409</v>
      </c>
      <c r="D92" s="1" t="s">
        <v>99</v>
      </c>
      <c r="E92" s="1" t="s">
        <v>24</v>
      </c>
      <c r="F92" s="1" t="s">
        <v>76</v>
      </c>
      <c r="G92" s="1" t="s">
        <v>30</v>
      </c>
      <c r="H92" s="1">
        <v>140.94</v>
      </c>
      <c r="I92" s="1">
        <v>3</v>
      </c>
      <c r="J92" s="1">
        <v>51.82</v>
      </c>
      <c r="K92" s="1">
        <v>20.66</v>
      </c>
      <c r="L92" s="1">
        <v>3.29</v>
      </c>
      <c r="M92" s="1">
        <v>6.3E-3</v>
      </c>
      <c r="N92" s="1">
        <v>0</v>
      </c>
      <c r="P92" s="1">
        <v>7.0000000000000007E-2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W92" s="1">
        <v>-1</v>
      </c>
      <c r="X92" t="str">
        <f t="shared" si="1"/>
        <v>NO</v>
      </c>
    </row>
    <row r="93" spans="1:24" x14ac:dyDescent="0.2">
      <c r="A93" s="1" t="s">
        <v>124</v>
      </c>
      <c r="B93" s="2" t="s">
        <v>195</v>
      </c>
      <c r="C93" s="1">
        <v>409</v>
      </c>
      <c r="D93" s="1" t="s">
        <v>99</v>
      </c>
      <c r="E93" s="1" t="s">
        <v>24</v>
      </c>
      <c r="F93" s="1" t="s">
        <v>76</v>
      </c>
      <c r="G93" s="1" t="s">
        <v>30</v>
      </c>
      <c r="H93" s="1">
        <v>133.32</v>
      </c>
      <c r="I93" s="1">
        <v>11</v>
      </c>
      <c r="J93" s="1">
        <v>12.25</v>
      </c>
      <c r="K93" s="1">
        <v>17.05</v>
      </c>
      <c r="L93" s="1">
        <v>5.6020000000000003</v>
      </c>
      <c r="M93" s="1">
        <v>3.0000000000000001E-3</v>
      </c>
      <c r="N93" s="1">
        <v>0</v>
      </c>
      <c r="P93" s="1">
        <v>0.4622</v>
      </c>
      <c r="Q93" s="1">
        <v>0</v>
      </c>
      <c r="R93" s="1">
        <v>0</v>
      </c>
      <c r="S93" s="1">
        <v>0</v>
      </c>
      <c r="T93" s="1">
        <v>0.33329999999999999</v>
      </c>
      <c r="U93" s="1">
        <v>0.154</v>
      </c>
      <c r="V93" s="1">
        <v>36.369999999999997</v>
      </c>
      <c r="W93" s="1">
        <v>-1</v>
      </c>
      <c r="X93" t="str">
        <f t="shared" si="1"/>
        <v>NO</v>
      </c>
    </row>
    <row r="94" spans="1:24" x14ac:dyDescent="0.2">
      <c r="A94" s="1" t="s">
        <v>125</v>
      </c>
      <c r="B94" s="2" t="s">
        <v>203</v>
      </c>
      <c r="C94" s="1">
        <v>409</v>
      </c>
      <c r="D94" s="1" t="s">
        <v>99</v>
      </c>
      <c r="E94" s="1" t="s">
        <v>24</v>
      </c>
      <c r="F94" s="1" t="s">
        <v>76</v>
      </c>
      <c r="G94" s="1" t="s">
        <v>30</v>
      </c>
      <c r="H94" s="1">
        <v>123.05</v>
      </c>
      <c r="I94" s="1">
        <v>3</v>
      </c>
      <c r="J94" s="1">
        <v>45.24</v>
      </c>
      <c r="K94" s="1">
        <v>11.49</v>
      </c>
      <c r="L94" s="1">
        <v>1.88</v>
      </c>
      <c r="M94" s="1">
        <v>6.1000000000000004E-3</v>
      </c>
      <c r="N94" s="1">
        <v>0</v>
      </c>
      <c r="P94" s="1">
        <v>4.58E-2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W94" s="1">
        <v>-1</v>
      </c>
      <c r="X94" t="str">
        <f t="shared" si="1"/>
        <v>NO</v>
      </c>
    </row>
    <row r="95" spans="1:24" x14ac:dyDescent="0.2">
      <c r="A95" s="1" t="s">
        <v>126</v>
      </c>
      <c r="B95" s="2" t="s">
        <v>202</v>
      </c>
      <c r="C95" s="1">
        <v>409</v>
      </c>
      <c r="D95" s="1" t="s">
        <v>99</v>
      </c>
      <c r="E95" s="1" t="s">
        <v>24</v>
      </c>
      <c r="F95" s="1" t="s">
        <v>76</v>
      </c>
      <c r="G95" s="1" t="s">
        <v>30</v>
      </c>
      <c r="H95" s="1">
        <v>110.95</v>
      </c>
      <c r="I95" s="1">
        <v>5</v>
      </c>
      <c r="J95" s="1">
        <v>20.39</v>
      </c>
      <c r="K95" s="1">
        <v>30.56</v>
      </c>
      <c r="L95" s="1">
        <v>4.907</v>
      </c>
      <c r="M95" s="1">
        <v>6.1999999999999998E-3</v>
      </c>
      <c r="N95" s="1">
        <v>0</v>
      </c>
      <c r="P95" s="1">
        <v>0.22109999999999999</v>
      </c>
      <c r="Q95" s="1">
        <v>0</v>
      </c>
      <c r="R95" s="1">
        <v>0</v>
      </c>
      <c r="S95" s="1">
        <v>0</v>
      </c>
      <c r="T95" s="1">
        <v>0.28199999999999997</v>
      </c>
      <c r="U95" s="1">
        <v>6.2399999999999997E-2</v>
      </c>
      <c r="V95" s="1">
        <v>78.69</v>
      </c>
      <c r="W95" s="1">
        <v>-1</v>
      </c>
      <c r="X95" t="str">
        <f t="shared" si="1"/>
        <v>NO</v>
      </c>
    </row>
    <row r="96" spans="1:24" x14ac:dyDescent="0.2">
      <c r="A96" s="1" t="s">
        <v>127</v>
      </c>
      <c r="B96" s="2" t="s">
        <v>194</v>
      </c>
      <c r="C96" s="1">
        <v>409</v>
      </c>
      <c r="D96" s="1" t="s">
        <v>99</v>
      </c>
      <c r="E96" s="1" t="s">
        <v>24</v>
      </c>
      <c r="F96" s="1" t="s">
        <v>76</v>
      </c>
      <c r="G96" s="1" t="s">
        <v>30</v>
      </c>
      <c r="H96" s="1">
        <v>100.93</v>
      </c>
      <c r="I96" s="1">
        <v>8</v>
      </c>
      <c r="J96" s="1">
        <v>12.37</v>
      </c>
      <c r="K96" s="1">
        <v>15.18</v>
      </c>
      <c r="L96" s="1">
        <v>5.6539999999999999</v>
      </c>
      <c r="M96" s="1">
        <v>2.7000000000000001E-3</v>
      </c>
      <c r="N96" s="1">
        <v>0</v>
      </c>
      <c r="P96" s="1">
        <v>0.44819999999999999</v>
      </c>
      <c r="Q96" s="1">
        <v>0</v>
      </c>
      <c r="R96" s="1">
        <v>0</v>
      </c>
      <c r="S96" s="1">
        <v>0</v>
      </c>
      <c r="T96" s="1">
        <v>0.42299999999999999</v>
      </c>
      <c r="U96" s="1">
        <v>0.18959999999999999</v>
      </c>
      <c r="V96" s="1">
        <v>29.82</v>
      </c>
      <c r="W96" s="1">
        <v>-1</v>
      </c>
      <c r="X96" t="str">
        <f t="shared" si="1"/>
        <v>YES</v>
      </c>
    </row>
    <row r="97" spans="1:24" x14ac:dyDescent="0.2">
      <c r="A97" s="1" t="s">
        <v>128</v>
      </c>
      <c r="B97" s="2" t="s">
        <v>204</v>
      </c>
      <c r="C97" s="1">
        <v>409</v>
      </c>
      <c r="D97" s="1" t="s">
        <v>99</v>
      </c>
      <c r="E97" s="1" t="s">
        <v>24</v>
      </c>
      <c r="F97" s="1" t="s">
        <v>76</v>
      </c>
      <c r="G97" s="1" t="s">
        <v>30</v>
      </c>
      <c r="H97" s="1">
        <v>90</v>
      </c>
      <c r="I97" s="1">
        <v>4</v>
      </c>
      <c r="J97" s="1">
        <v>22.06</v>
      </c>
      <c r="K97" s="1">
        <v>16.32</v>
      </c>
      <c r="L97" s="1">
        <v>3.9809999999999999</v>
      </c>
      <c r="M97" s="1">
        <v>4.1000000000000003E-3</v>
      </c>
      <c r="N97" s="1">
        <v>0</v>
      </c>
      <c r="P97" s="1">
        <v>0.1769</v>
      </c>
      <c r="Q97" s="1">
        <v>0</v>
      </c>
      <c r="R97" s="1">
        <v>0</v>
      </c>
      <c r="S97" s="1">
        <v>0</v>
      </c>
      <c r="T97" s="1">
        <v>0.14099999999999999</v>
      </c>
      <c r="U97" s="1">
        <v>2.4899999999999999E-2</v>
      </c>
      <c r="V97" s="1">
        <v>159.58000000000001</v>
      </c>
      <c r="W97" s="1">
        <v>-1</v>
      </c>
      <c r="X97" t="str">
        <f t="shared" si="1"/>
        <v>NO</v>
      </c>
    </row>
    <row r="98" spans="1:24" x14ac:dyDescent="0.2">
      <c r="A98" s="1" t="s">
        <v>129</v>
      </c>
      <c r="B98" s="2" t="s">
        <v>205</v>
      </c>
      <c r="C98" s="1">
        <v>409</v>
      </c>
      <c r="D98" s="1" t="s">
        <v>99</v>
      </c>
      <c r="E98" s="1" t="s">
        <v>24</v>
      </c>
      <c r="F98" s="1" t="s">
        <v>76</v>
      </c>
      <c r="G98" s="1" t="s">
        <v>30</v>
      </c>
      <c r="H98" s="1">
        <v>79.64</v>
      </c>
      <c r="I98" s="1">
        <v>1</v>
      </c>
      <c r="J98" s="1">
        <v>58.56</v>
      </c>
      <c r="K98" s="1">
        <v>29.33</v>
      </c>
      <c r="L98" s="1">
        <v>4.1829999999999998</v>
      </c>
      <c r="M98" s="1">
        <v>7.0000000000000001E-3</v>
      </c>
      <c r="N98" s="1">
        <v>0</v>
      </c>
      <c r="P98" s="1">
        <v>5.2499999999999998E-2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W98" s="1">
        <v>-1</v>
      </c>
      <c r="X98" t="str">
        <f t="shared" si="1"/>
        <v>NO</v>
      </c>
    </row>
    <row r="99" spans="1:24" x14ac:dyDescent="0.2">
      <c r="A99" s="1" t="s">
        <v>130</v>
      </c>
      <c r="B99" s="2" t="s">
        <v>199</v>
      </c>
      <c r="C99" s="1">
        <v>409</v>
      </c>
      <c r="D99" s="1" t="s">
        <v>99</v>
      </c>
      <c r="E99" s="1" t="s">
        <v>24</v>
      </c>
      <c r="F99" s="1" t="s">
        <v>76</v>
      </c>
      <c r="G99" s="1" t="s">
        <v>30</v>
      </c>
      <c r="H99" s="1">
        <v>78.05</v>
      </c>
      <c r="I99" s="1">
        <v>1</v>
      </c>
      <c r="J99" s="1">
        <v>57.39</v>
      </c>
      <c r="K99" s="1">
        <v>28.85</v>
      </c>
      <c r="L99" s="1">
        <v>3.28</v>
      </c>
      <c r="M99" s="1">
        <v>8.8000000000000005E-3</v>
      </c>
      <c r="N99" s="1">
        <v>0</v>
      </c>
      <c r="P99" s="1">
        <v>4.2000000000000003E-2</v>
      </c>
      <c r="Q99" s="1">
        <v>0</v>
      </c>
      <c r="R99" s="1">
        <v>0</v>
      </c>
      <c r="S99" s="1">
        <v>0</v>
      </c>
      <c r="T99" s="1">
        <v>0.56399999999999995</v>
      </c>
      <c r="U99" s="1">
        <v>2.3699999999999999E-2</v>
      </c>
      <c r="V99" s="1">
        <v>138.38999999999999</v>
      </c>
      <c r="W99" s="1">
        <v>-1</v>
      </c>
      <c r="X99" t="str">
        <f t="shared" si="1"/>
        <v>NO</v>
      </c>
    </row>
    <row r="100" spans="1:24" x14ac:dyDescent="0.2">
      <c r="A100" s="1" t="s">
        <v>131</v>
      </c>
      <c r="B100" s="2" t="s">
        <v>206</v>
      </c>
      <c r="C100" s="1">
        <v>409</v>
      </c>
      <c r="D100" s="1" t="s">
        <v>99</v>
      </c>
      <c r="E100" s="1" t="s">
        <v>24</v>
      </c>
      <c r="F100" s="1" t="s">
        <v>76</v>
      </c>
      <c r="G100" s="1" t="s">
        <v>30</v>
      </c>
      <c r="H100" s="1">
        <v>75.81</v>
      </c>
      <c r="I100" s="1">
        <v>7</v>
      </c>
      <c r="J100" s="1">
        <v>11.15</v>
      </c>
      <c r="K100" s="1">
        <v>18.260000000000002</v>
      </c>
      <c r="L100" s="1">
        <v>2.8959999999999999</v>
      </c>
      <c r="M100" s="1">
        <v>6.3E-3</v>
      </c>
      <c r="N100" s="1">
        <v>0</v>
      </c>
      <c r="P100" s="1">
        <v>0.26740000000000003</v>
      </c>
      <c r="Q100" s="1">
        <v>0</v>
      </c>
      <c r="R100" s="1">
        <v>0</v>
      </c>
      <c r="S100" s="1">
        <v>0</v>
      </c>
      <c r="T100" s="1">
        <v>0.40289999999999998</v>
      </c>
      <c r="U100" s="1">
        <v>0.1077</v>
      </c>
      <c r="V100" s="1">
        <v>26.88</v>
      </c>
      <c r="W100" s="1">
        <v>-1</v>
      </c>
      <c r="X100" t="str">
        <f t="shared" si="1"/>
        <v>YES</v>
      </c>
    </row>
    <row r="101" spans="1:24" x14ac:dyDescent="0.2">
      <c r="A101" s="1" t="s">
        <v>132</v>
      </c>
      <c r="B101" s="2" t="s">
        <v>198</v>
      </c>
      <c r="C101" s="1">
        <v>409</v>
      </c>
      <c r="D101" s="1" t="s">
        <v>99</v>
      </c>
      <c r="E101" s="1" t="s">
        <v>24</v>
      </c>
      <c r="F101" s="1" t="s">
        <v>76</v>
      </c>
      <c r="G101" s="1" t="s">
        <v>30</v>
      </c>
      <c r="H101" s="1">
        <v>64.81</v>
      </c>
      <c r="I101" s="1">
        <v>4</v>
      </c>
      <c r="J101" s="1">
        <v>15.88</v>
      </c>
      <c r="K101" s="1">
        <v>27.87</v>
      </c>
      <c r="L101" s="1">
        <v>6.8079999999999998</v>
      </c>
      <c r="M101" s="1">
        <v>4.1000000000000003E-3</v>
      </c>
      <c r="N101" s="1">
        <v>0</v>
      </c>
      <c r="P101" s="1">
        <v>0.42020000000000002</v>
      </c>
      <c r="Q101" s="1">
        <v>0</v>
      </c>
      <c r="R101" s="1">
        <v>0</v>
      </c>
      <c r="S101" s="1">
        <v>0</v>
      </c>
      <c r="T101" s="1">
        <v>0.14099999999999999</v>
      </c>
      <c r="U101" s="1">
        <v>5.9200000000000003E-2</v>
      </c>
      <c r="V101" s="1">
        <v>114.91</v>
      </c>
      <c r="W101" s="1">
        <v>-1</v>
      </c>
      <c r="X101" t="str">
        <f t="shared" si="1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AI OrchestrationSummerSchool_cr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Hmel</dc:creator>
  <cp:lastModifiedBy>Arina Hmel</cp:lastModifiedBy>
  <dcterms:created xsi:type="dcterms:W3CDTF">2026-08-16T12:19:14Z</dcterms:created>
  <dcterms:modified xsi:type="dcterms:W3CDTF">2026-08-16T12:28:59Z</dcterms:modified>
</cp:coreProperties>
</file>